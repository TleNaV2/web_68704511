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68704511V2\งานส่ง\"/>
    </mc:Choice>
  </mc:AlternateContent>
  <xr:revisionPtr revIDLastSave="0" documentId="8_{71F20195-B4E0-4BF6-83C9-5335EE8F8791}" xr6:coauthVersionLast="47" xr6:coauthVersionMax="47" xr10:uidLastSave="{00000000-0000-0000-0000-000000000000}"/>
  <bookViews>
    <workbookView xWindow="-120" yWindow="-120" windowWidth="29040" windowHeight="15840" activeTab="8" xr2:uid="{8090DB5D-B7FF-441D-A89C-3450F6124E2C}"/>
  </bookViews>
  <sheets>
    <sheet name="แนะนำส่วนต่างๆ" sheetId="5" r:id="rId1"/>
    <sheet name="Sort" sheetId="6" r:id="rId2"/>
    <sheet name="Freeze Panes" sheetId="8" r:id="rId3"/>
    <sheet name="Autofill" sheetId="2" r:id="rId4"/>
    <sheet name="Flash Fill" sheetId="10" r:id="rId5"/>
    <sheet name="Flash Fill (2)" sheetId="11" r:id="rId6"/>
    <sheet name="ค้นหา แทนที่" sheetId="7" r:id="rId7"/>
    <sheet name="Formular" sheetId="3" r:id="rId8"/>
    <sheet name="ใบงาน Excel" sheetId="9" r:id="rId9"/>
  </sheets>
  <definedNames>
    <definedName name="_xlnm._FilterDatabase" localSheetId="0" hidden="1">แนะนำส่วนต่างๆ!$A$1:$E$1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9" l="1"/>
  <c r="E15" i="9"/>
  <c r="E14" i="9"/>
  <c r="E13" i="9"/>
  <c r="E6" i="9"/>
  <c r="E7" i="9"/>
  <c r="E8" i="9"/>
  <c r="E9" i="9"/>
  <c r="E10" i="9"/>
  <c r="E11" i="9"/>
  <c r="E12" i="9"/>
  <c r="E5" i="9"/>
  <c r="B12" i="3"/>
  <c r="D5" i="3"/>
  <c r="D6" i="3"/>
  <c r="D7" i="3"/>
  <c r="D8" i="3"/>
  <c r="D9" i="3"/>
  <c r="D10" i="3"/>
  <c r="D4" i="3"/>
  <c r="D3" i="3"/>
  <c r="G4" i="2"/>
  <c r="G5" i="2"/>
  <c r="G6" i="2"/>
  <c r="G7" i="2"/>
  <c r="G8" i="2"/>
  <c r="G9" i="2"/>
  <c r="G10" i="2"/>
  <c r="G11" i="2"/>
  <c r="G12" i="2"/>
  <c r="G13" i="2"/>
  <c r="G14" i="2"/>
  <c r="G3" i="2"/>
</calcChain>
</file>

<file path=xl/sharedStrings.xml><?xml version="1.0" encoding="utf-8"?>
<sst xmlns="http://schemas.openxmlformats.org/spreadsheetml/2006/main" count="755" uniqueCount="368">
  <si>
    <t>January</t>
  </si>
  <si>
    <t>Monday</t>
  </si>
  <si>
    <t>Email Address</t>
  </si>
  <si>
    <t>Susan_Brown@MSC.co.th</t>
  </si>
  <si>
    <t>Lidia.Holloway@MMC.com</t>
  </si>
  <si>
    <t>Adam-Smith@BAL.com</t>
  </si>
  <si>
    <t>Patty_Lee@MMSC.com</t>
  </si>
  <si>
    <t>Adelve.Vance@SSMC.com</t>
  </si>
  <si>
    <t>Allan.Delan@WEXT.com</t>
  </si>
  <si>
    <t>FirstName</t>
  </si>
  <si>
    <t>Lastname</t>
  </si>
  <si>
    <t>FirstName-LastName</t>
  </si>
  <si>
    <t>รายการสินค้า</t>
  </si>
  <si>
    <t>จำนวนสินค้าในคลัง</t>
  </si>
  <si>
    <t>จำนวน-ที่ขาย</t>
  </si>
  <si>
    <t>คงเหลือ</t>
  </si>
  <si>
    <t>โซฟา</t>
  </si>
  <si>
    <t>ชุดรับแขก</t>
  </si>
  <si>
    <t>โต๊ะอาหาร</t>
  </si>
  <si>
    <t>โต๊ะทำงาน</t>
  </si>
  <si>
    <t>เก้าอี้ทำงาน</t>
  </si>
  <si>
    <t>เก้าอี้นั่งเล่น</t>
  </si>
  <si>
    <t>เตียง</t>
  </si>
  <si>
    <t>เตาอบไฟฟ้า</t>
  </si>
  <si>
    <t>รายการสินค้าคงคลัง เดือน เมษายน</t>
  </si>
  <si>
    <t>SUM</t>
  </si>
  <si>
    <t>AVERAGE</t>
  </si>
  <si>
    <t>MAX</t>
  </si>
  <si>
    <t>MIN</t>
  </si>
  <si>
    <t>COUNT</t>
  </si>
  <si>
    <t>IF</t>
  </si>
  <si>
    <t>ลำดับ</t>
  </si>
  <si>
    <t>รายการ</t>
  </si>
  <si>
    <t>ราคา/หน่วย</t>
  </si>
  <si>
    <t>จำนวน</t>
  </si>
  <si>
    <t>ราคาสินค้า</t>
  </si>
  <si>
    <t>โทรทัศน์</t>
  </si>
  <si>
    <t>จักรยาน</t>
  </si>
  <si>
    <t>คอมพิวเตอร์</t>
  </si>
  <si>
    <t>วิทยุ</t>
  </si>
  <si>
    <t>หม้อ</t>
  </si>
  <si>
    <t>เตารีด</t>
  </si>
  <si>
    <t>พัดลม</t>
  </si>
  <si>
    <t>ตู้เย็น</t>
  </si>
  <si>
    <t>ยอดเงินทั้งสิ้น</t>
  </si>
  <si>
    <t>Excel พื้นฐาน</t>
  </si>
  <si>
    <t>การสร้างข้อความ</t>
  </si>
  <si>
    <t>การพิมพ์ข้อความใน Excel</t>
  </si>
  <si>
    <t>การตกแต่งข้อความ เปลี่ยนfont ขนาด สี</t>
  </si>
  <si>
    <t>ตาราง และการปรับแต่ง</t>
  </si>
  <si>
    <t>การแทรก บรรทัดหรือคอลัมภ์</t>
  </si>
  <si>
    <t>การขยายความกว้างของตารางหรือแถว</t>
  </si>
  <si>
    <t>การ Merge cell (รวมช่องตาราง) และข้อควรระวัง</t>
  </si>
  <si>
    <t>แถบสูตร</t>
  </si>
  <si>
    <t>Format cell</t>
  </si>
  <si>
    <t>การจัดการส่วนต่างๆ</t>
  </si>
  <si>
    <t>การเรียง</t>
  </si>
  <si>
    <t>มหาวิทยาลัยศรีปทุม  วิทยาเขตชลบุรี</t>
  </si>
  <si>
    <t>ใบแจ้งรายชื่อนักศึกษาที่ลงทะเบียนประจำภาค  1 ปีการศึกษา 2568</t>
  </si>
  <si>
    <t>รหัสวิชา UID10667 ชื่อวิชา เทคโนโลยีสารสนเทศเพื่ออาชีพ และ การทำงาน</t>
  </si>
  <si>
    <t>กลุ่ม  01  ปฏิบัติ</t>
  </si>
  <si>
    <t>รหัสนักศึกษา</t>
  </si>
  <si>
    <t>ชื่อ - นามสกุล</t>
  </si>
  <si>
    <t>1.</t>
  </si>
  <si>
    <t>68700186</t>
  </si>
  <si>
    <t>น.ส. นิราวรรณ กรุงนอก</t>
  </si>
  <si>
    <t>2.</t>
  </si>
  <si>
    <t>68700268</t>
  </si>
  <si>
    <t>น.ส. ณัฐวรา มะโนธรรม</t>
  </si>
  <si>
    <t>3.</t>
  </si>
  <si>
    <t>68700333</t>
  </si>
  <si>
    <t>น.ส. ธีรดา ยืนยัง</t>
  </si>
  <si>
    <t>4.</t>
  </si>
  <si>
    <t>68700453</t>
  </si>
  <si>
    <t>น.ส. อริสา สุราทิพย์</t>
  </si>
  <si>
    <t>5.</t>
  </si>
  <si>
    <t>68700679</t>
  </si>
  <si>
    <t>น.ส. ณัฐินี คำผุย</t>
  </si>
  <si>
    <t>6.</t>
  </si>
  <si>
    <t>68701174</t>
  </si>
  <si>
    <t>น.ส. สุภาพร คำอ่าง</t>
  </si>
  <si>
    <t>7.</t>
  </si>
  <si>
    <t>68702408</t>
  </si>
  <si>
    <t>น.ส. สริดา โกจนานนท์</t>
  </si>
  <si>
    <t>8.</t>
  </si>
  <si>
    <t>68702597</t>
  </si>
  <si>
    <t>น.ส. ปณิตา ม่วงมี</t>
  </si>
  <si>
    <t>9.</t>
  </si>
  <si>
    <t>68703458</t>
  </si>
  <si>
    <t>น.ส. ญาดาวดี ทองอ้ม</t>
  </si>
  <si>
    <t>10.</t>
  </si>
  <si>
    <t>68703547</t>
  </si>
  <si>
    <t>น.ส. จุฑามาศ สำราญวงค์</t>
  </si>
  <si>
    <t>11.</t>
  </si>
  <si>
    <t>68703910</t>
  </si>
  <si>
    <t>นาย ภูษนันทน์ คล่องงานฉุย</t>
  </si>
  <si>
    <t>12.</t>
  </si>
  <si>
    <t>68703934</t>
  </si>
  <si>
    <t>น.ส. สุคนธ์ทิพย์ ดวงตา</t>
  </si>
  <si>
    <t>13.</t>
  </si>
  <si>
    <t>68704319</t>
  </si>
  <si>
    <t>นาย อภิวิชญ์ ฉัตรเงิน</t>
  </si>
  <si>
    <t>14.</t>
  </si>
  <si>
    <t>68704388</t>
  </si>
  <si>
    <t>นาย เศรษวัฒณ์ สร้อยสุวรรณ</t>
  </si>
  <si>
    <t>15.</t>
  </si>
  <si>
    <t>68704977</t>
  </si>
  <si>
    <t>นาย กิตติภัค ชุมสมาน</t>
  </si>
  <si>
    <t>16.</t>
  </si>
  <si>
    <t>68705270</t>
  </si>
  <si>
    <t>นาย มิค กิลเลสพี</t>
  </si>
  <si>
    <t>17.</t>
  </si>
  <si>
    <t>68705561</t>
  </si>
  <si>
    <t>นาย สรวัชร หอมดี</t>
  </si>
  <si>
    <t>18.</t>
  </si>
  <si>
    <t>68706580</t>
  </si>
  <si>
    <t>นาย ธีร์จุฑา ชูแก้ว</t>
  </si>
  <si>
    <t>19.</t>
  </si>
  <si>
    <t>68706840</t>
  </si>
  <si>
    <t>นาย สิรวิชญ์ ทับขัน</t>
  </si>
  <si>
    <t>20.</t>
  </si>
  <si>
    <t>68706888</t>
  </si>
  <si>
    <t>นาย ปวริศ จินดามณีเรือง</t>
  </si>
  <si>
    <t>21.</t>
  </si>
  <si>
    <t>68706953</t>
  </si>
  <si>
    <t>น.ส. วราภรณ์ กิติราช</t>
  </si>
  <si>
    <t>22.</t>
  </si>
  <si>
    <t>68707256</t>
  </si>
  <si>
    <t>นาย อาทินันท์ ตัณฑศิริ</t>
  </si>
  <si>
    <t>23.</t>
  </si>
  <si>
    <t>68707530</t>
  </si>
  <si>
    <t>นาย พรชลัช พันธุมะโอภาส</t>
  </si>
  <si>
    <t>24.</t>
  </si>
  <si>
    <t>68708080</t>
  </si>
  <si>
    <t>น.ส. พัชราภา เครือคูณ</t>
  </si>
  <si>
    <t>25.</t>
  </si>
  <si>
    <t>68708357</t>
  </si>
  <si>
    <t>นาย หิมพัชร์ นิสัยสุข</t>
  </si>
  <si>
    <t>26.</t>
  </si>
  <si>
    <t>68708617</t>
  </si>
  <si>
    <t>นาย จักรกฤษณ์ ไชยปัตถา</t>
  </si>
  <si>
    <t>27.</t>
  </si>
  <si>
    <t>68708624</t>
  </si>
  <si>
    <t>น.ส. ณัฐณิชา พุทธพงศ์</t>
  </si>
  <si>
    <t>28.</t>
  </si>
  <si>
    <t>68708819</t>
  </si>
  <si>
    <t>น.ส. ชาลิสา หิรัญเจริญ</t>
  </si>
  <si>
    <t>29.</t>
  </si>
  <si>
    <t>68709434</t>
  </si>
  <si>
    <t>นาย วสุพล ชำนาญ</t>
  </si>
  <si>
    <t>30.</t>
  </si>
  <si>
    <t>68709523</t>
  </si>
  <si>
    <t>น.ส. พิชชาพร จิตต์ไพบูลย์</t>
  </si>
  <si>
    <t>31.</t>
  </si>
  <si>
    <t>68709530</t>
  </si>
  <si>
    <t>น.ส. ธัญญรัตน์ รังทอง</t>
  </si>
  <si>
    <t>32.</t>
  </si>
  <si>
    <t>68709927</t>
  </si>
  <si>
    <t>นาย ปริวิทธิ์ ร้อยเพีย</t>
  </si>
  <si>
    <t>33.</t>
  </si>
  <si>
    <t>68710166</t>
  </si>
  <si>
    <t>น.ส. วิลาสินี อินทรักษา</t>
  </si>
  <si>
    <t>34.</t>
  </si>
  <si>
    <t>68710337</t>
  </si>
  <si>
    <t>น.ส. สุดารักษ์ โพระฎก</t>
  </si>
  <si>
    <t>35.</t>
  </si>
  <si>
    <t>68710344</t>
  </si>
  <si>
    <t>น.ส. ชญานันทร์ สิทธิวรศิลป์</t>
  </si>
  <si>
    <t>36.</t>
  </si>
  <si>
    <t>68710351</t>
  </si>
  <si>
    <t>นาย คชภัค กรกัน</t>
  </si>
  <si>
    <t>37.</t>
  </si>
  <si>
    <t>68710820</t>
  </si>
  <si>
    <t>น.ส. ณัฐวดี ศะศิบุตร์</t>
  </si>
  <si>
    <t>38.</t>
  </si>
  <si>
    <t>68710957</t>
  </si>
  <si>
    <t>นาย ศุภกร วงษ์บุปผา</t>
  </si>
  <si>
    <t>39.</t>
  </si>
  <si>
    <t>68711394</t>
  </si>
  <si>
    <t>น.ส. อนัญญา ทองสว่าง</t>
  </si>
  <si>
    <t>40.</t>
  </si>
  <si>
    <t>68711887</t>
  </si>
  <si>
    <t>นาย ถิรวิทย์ ฮกเจริญ</t>
  </si>
  <si>
    <t>41.</t>
  </si>
  <si>
    <t>68712135</t>
  </si>
  <si>
    <t>น.ส. ธัญวษา สงวนวงศ์</t>
  </si>
  <si>
    <t>42.</t>
  </si>
  <si>
    <t>68713274</t>
  </si>
  <si>
    <t>น.ส. จิรัชฌา ทองเจริญ</t>
  </si>
  <si>
    <t>43.</t>
  </si>
  <si>
    <t>68700117</t>
  </si>
  <si>
    <t>น.ส. ณัฎฐณิชา นาคพรหม</t>
  </si>
  <si>
    <t>44.</t>
  </si>
  <si>
    <t>68700131</t>
  </si>
  <si>
    <t>น.ส. พุฒิพร หล่อดำรงค์</t>
  </si>
  <si>
    <t>45.</t>
  </si>
  <si>
    <t>68700275</t>
  </si>
  <si>
    <t>น.ส. สิรินภา ไพรเลิศ</t>
  </si>
  <si>
    <t>46.</t>
  </si>
  <si>
    <t>68700415</t>
  </si>
  <si>
    <t>น.ส. มาริษา คอลบีย์</t>
  </si>
  <si>
    <t>47.</t>
  </si>
  <si>
    <t>68701030</t>
  </si>
  <si>
    <t>นาย ศิวกร ไอยะรา</t>
  </si>
  <si>
    <t>48.</t>
  </si>
  <si>
    <t>68701876</t>
  </si>
  <si>
    <t>น.ส. อัญชลี ทองแทน</t>
  </si>
  <si>
    <t>49.</t>
  </si>
  <si>
    <t>68705427</t>
  </si>
  <si>
    <t>น.ส. ธนภรณ์ หมุดธรรม</t>
  </si>
  <si>
    <t>50.</t>
  </si>
  <si>
    <t>68707129</t>
  </si>
  <si>
    <t>น.ส. ปิยาอร เรียบร้อย</t>
  </si>
  <si>
    <t>51.</t>
  </si>
  <si>
    <t>68707489</t>
  </si>
  <si>
    <t>นาย ธีรเดช คำใจ</t>
  </si>
  <si>
    <t>52.</t>
  </si>
  <si>
    <t>68707763</t>
  </si>
  <si>
    <t>น.ส. ราชาวดี คุ้มประยูร</t>
  </si>
  <si>
    <t>53.</t>
  </si>
  <si>
    <t>68709314</t>
  </si>
  <si>
    <t>นาย อชิรภัทร รวมพล</t>
  </si>
  <si>
    <t>54.</t>
  </si>
  <si>
    <t>68709321</t>
  </si>
  <si>
    <t>น.ส. จุฑาทิพย์ อินทร์สง่า</t>
  </si>
  <si>
    <t>55.</t>
  </si>
  <si>
    <t>68709996</t>
  </si>
  <si>
    <t>น.ส. อนัญญา เเสนพงค์</t>
  </si>
  <si>
    <t>56.</t>
  </si>
  <si>
    <t>68710700</t>
  </si>
  <si>
    <t>นาย ธนภัทร แก้วสีบุตร</t>
  </si>
  <si>
    <t>57.</t>
  </si>
  <si>
    <t>68712255</t>
  </si>
  <si>
    <t>นาย ปรินยาพัทร์ เตียนพลกรัง</t>
  </si>
  <si>
    <t>58.</t>
  </si>
  <si>
    <t>68712673</t>
  </si>
  <si>
    <t>น.ส. ปัญญาพร พวงพลา</t>
  </si>
  <si>
    <t>59.</t>
  </si>
  <si>
    <t>68713363</t>
  </si>
  <si>
    <t>น.ส. สรีรัก เร็วจันทึก</t>
  </si>
  <si>
    <t/>
  </si>
  <si>
    <t>Week1</t>
  </si>
  <si>
    <t>Week3</t>
  </si>
  <si>
    <t>Week4</t>
  </si>
  <si>
    <t>Page Setup</t>
  </si>
  <si>
    <t>การซ่อน บรรทัดหรือคอลัมภ์</t>
  </si>
  <si>
    <t>Wrap text</t>
  </si>
  <si>
    <t>การจัดตำแหน่งข้อความ แนวนอน (ชิดซ้าย, ชิดขวา, กึ่งกลาง) แนวตั้ง Top,Middle,Bottom)</t>
  </si>
  <si>
    <t>Clear Contents,Clear Formats,Clear All</t>
  </si>
  <si>
    <t>การ Print</t>
  </si>
  <si>
    <t>การสั่งพิมพ์แบบต่างๆ</t>
  </si>
  <si>
    <t>การ Print title</t>
  </si>
  <si>
    <t>Mask As Final</t>
  </si>
  <si>
    <t>เครืองมือตีเส้นตาราง / No border</t>
  </si>
  <si>
    <t>แจ้งเตือน สินค้าน้อยกว่า 2 ชิ้น</t>
  </si>
  <si>
    <t>หาผลรวมของยอดขายสินค้าทุกชนิด</t>
  </si>
  <si>
    <t>หาค่าเฉลี่ยของยอดขายสินค้าทุกชนิด</t>
  </si>
  <si>
    <t>หาค่าสูงสุดของยอดขายสินค้าทุกชนิด</t>
  </si>
  <si>
    <t>หาค่าน้อยสุดของยอดขายสินค้าทุกชนิด</t>
  </si>
  <si>
    <t>หาจำนวนของสินค้าทั้งหมด</t>
  </si>
  <si>
    <t>ให้ใช้เงื่อนไขในการแสดงสินค้าคงเหลือน้อยกว่าเท่ากับ 2 ชิ้น ถ้ามากกว่าให้แสดงผลปกติ</t>
  </si>
  <si>
    <t>น.ส. ณัฐณิชา พุทธวงศ์</t>
  </si>
  <si>
    <t>ใบงานหัวข้อ การใช้งาน Excel</t>
  </si>
  <si>
    <t>ให้นักศึกษาสร้างตารางเก็บข้อมูล พร้อมคำนวณหาค่าในช่องว่างตามที่โจทย์กำหนด</t>
  </si>
  <si>
    <t>รวมราคาสินค้า</t>
  </si>
  <si>
    <t>ส่วนลด 20%</t>
  </si>
  <si>
    <t>หมายเหตุ</t>
  </si>
  <si>
    <r>
      <t xml:space="preserve">* </t>
    </r>
    <r>
      <rPr>
        <b/>
        <sz val="16"/>
        <color theme="1"/>
        <rFont val="TH Sarabun New"/>
        <family val="2"/>
      </rPr>
      <t>ส่วนลด</t>
    </r>
    <r>
      <rPr>
        <sz val="16"/>
        <color theme="1"/>
        <rFont val="TH Sarabun New"/>
        <family val="2"/>
      </rPr>
      <t>คิดจากราคารวมสินค้า</t>
    </r>
  </si>
  <si>
    <r>
      <t xml:space="preserve">* </t>
    </r>
    <r>
      <rPr>
        <b/>
        <sz val="16"/>
        <color theme="1"/>
        <rFont val="TH Sarabun New"/>
        <family val="2"/>
      </rPr>
      <t>ภาษี</t>
    </r>
    <r>
      <rPr>
        <sz val="16"/>
        <color theme="1"/>
        <rFont val="TH Sarabun New"/>
        <family val="2"/>
      </rPr>
      <t>คิดจากรวมราคาสินค้าหักส่วนลดแล้ว</t>
    </r>
  </si>
  <si>
    <r>
      <t xml:space="preserve">* </t>
    </r>
    <r>
      <rPr>
        <b/>
        <sz val="16"/>
        <color theme="1"/>
        <rFont val="TH Sarabun New"/>
        <family val="2"/>
      </rPr>
      <t>ยอดเงินทั้งสิ้น</t>
    </r>
    <r>
      <rPr>
        <sz val="16"/>
        <color theme="1"/>
        <rFont val="TH Sarabun New"/>
        <family val="2"/>
      </rPr>
      <t>คิดจากรวมราคาสินค้าหักส่วนลดภาษี</t>
    </r>
  </si>
  <si>
    <t>1. ให้นักศึกษาป้อนข้อมูลลงในตาราง Excel ตามตัวอย่าง</t>
  </si>
  <si>
    <t>2. ให้นักศึกษาคำนวณหาราคาสินค้า</t>
  </si>
  <si>
    <t>3. ให้นักศึกษาคำนวณหา รวมราคาสินค้า ส่วนลด ภาษี และยอดเงินทั้งสิ้น</t>
  </si>
  <si>
    <t>คำสั่ง</t>
  </si>
  <si>
    <t>ภาษี 7%</t>
  </si>
  <si>
    <t>4. ให้ตั้งชื่อ Sheet เป็นรหัสนักศึกษา และบันทึกไฟล์เป็น 2 ไฟล์ คือไฟล์ Excel และ ไฟล์ PDF โดยตั้งชื่อไฟล์เป็น</t>
  </si>
  <si>
    <t xml:space="preserve">    รหัสนักศึกษา.xlsx และ รหัสนักศึกษา.pdf และส่งไฟล์ที่มีนามสกุล pdf เข้าระบบ SPUC-LTAS</t>
  </si>
  <si>
    <t>จันทร์</t>
  </si>
  <si>
    <t>มกราคม</t>
  </si>
  <si>
    <t>Product Code</t>
  </si>
  <si>
    <t>Stock</t>
  </si>
  <si>
    <t>SRU-0223/S</t>
  </si>
  <si>
    <t>SSD-06233/D</t>
  </si>
  <si>
    <t>FRU-123/P</t>
  </si>
  <si>
    <t>CLOTH-388/S</t>
  </si>
  <si>
    <t>CLOTH-1212/M</t>
  </si>
  <si>
    <t>ELEC-887/A</t>
  </si>
  <si>
    <t>ELEC-82/C</t>
  </si>
  <si>
    <t>BABY-22496/Z</t>
  </si>
  <si>
    <t>STARDUST-64/A</t>
  </si>
  <si>
    <t>Tuesday</t>
  </si>
  <si>
    <t>Wednesday</t>
  </si>
  <si>
    <t>Thursday</t>
  </si>
  <si>
    <t>Friday</t>
  </si>
  <si>
    <t>Saturday</t>
  </si>
  <si>
    <t>Sunday</t>
  </si>
  <si>
    <t>February</t>
  </si>
  <si>
    <t>March</t>
  </si>
  <si>
    <t>April</t>
  </si>
  <si>
    <t>May</t>
  </si>
  <si>
    <t>June</t>
  </si>
  <si>
    <t>July</t>
  </si>
  <si>
    <t>August</t>
  </si>
  <si>
    <t>อังคาร</t>
  </si>
  <si>
    <t>September</t>
  </si>
  <si>
    <t>October</t>
  </si>
  <si>
    <t>พุธ</t>
  </si>
  <si>
    <t>November</t>
  </si>
  <si>
    <t>December</t>
  </si>
  <si>
    <t>พฤหัสบดี</t>
  </si>
  <si>
    <t>ศุกร์</t>
  </si>
  <si>
    <t>เสาร์</t>
  </si>
  <si>
    <t>อาทิตย์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</si>
  <si>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</si>
  <si>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</si>
  <si>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</si>
  <si>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</si>
  <si>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</si>
  <si>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</si>
  <si>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</si>
  <si>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</si>
  <si>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</si>
  <si>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</si>
  <si>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</si>
  <si>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susan</t>
  </si>
  <si>
    <t>brown</t>
  </si>
  <si>
    <t>holloway</t>
  </si>
  <si>
    <t>smith</t>
  </si>
  <si>
    <t>lee</t>
  </si>
  <si>
    <t>vance</t>
  </si>
  <si>
    <t>delan</t>
  </si>
  <si>
    <t>Lidin</t>
  </si>
  <si>
    <t>Adamn</t>
  </si>
  <si>
    <t>Pattn</t>
  </si>
  <si>
    <t>Adeln</t>
  </si>
  <si>
    <t>Allan</t>
  </si>
  <si>
    <t>@MSC</t>
  </si>
  <si>
    <t>@BAL</t>
  </si>
  <si>
    <t>@MMSC</t>
  </si>
  <si>
    <t>@Vance</t>
  </si>
  <si>
    <t>@Delan</t>
  </si>
  <si>
    <t>@Holloway</t>
  </si>
  <si>
    <t>SRU</t>
  </si>
  <si>
    <t>SSD</t>
  </si>
  <si>
    <t>FRU</t>
  </si>
  <si>
    <t>CLOTH</t>
  </si>
  <si>
    <t>ELEC</t>
  </si>
  <si>
    <t>BABY</t>
  </si>
  <si>
    <t>STARDUST</t>
  </si>
  <si>
    <t>/S</t>
  </si>
  <si>
    <t>/C</t>
  </si>
  <si>
    <t>/D</t>
  </si>
  <si>
    <t>/P</t>
  </si>
  <si>
    <t>/M</t>
  </si>
  <si>
    <t>/A</t>
  </si>
  <si>
    <t>/Z</t>
  </si>
  <si>
    <t>Product</t>
  </si>
  <si>
    <t>ct Code</t>
  </si>
  <si>
    <t>UST-64</t>
  </si>
  <si>
    <t>SRU มีจำนวน 300 ชิ้น</t>
  </si>
  <si>
    <t>SSD มีจำนวน 233 ชิ้น</t>
  </si>
  <si>
    <t>FRU มีจำนวน 47 ชิ้น</t>
  </si>
  <si>
    <t>CLOTH มีจำนวน 120 ชิ้น</t>
  </si>
  <si>
    <t>CLOTH มีจำนวน 98 ชิ้น</t>
  </si>
  <si>
    <t>ELEC มีจำนวน 102 ชิ้น</t>
  </si>
  <si>
    <t>ELEC มีจำนวน 60 ชิ้น</t>
  </si>
  <si>
    <t>BABY มีจำนวน 140 ชิ้น</t>
  </si>
  <si>
    <t>STARDUST มีจำนวน 240 ชิ้น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</si>
</sst>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1070000]d/mm/yyyy;@"/>
  </numFmts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ahoma"/>
      <family val="2"/>
    </font>
    <font>
      <b/>
      <sz val="26"/>
      <color theme="1"/>
      <name val="Tahoma"/>
      <family val="2"/>
    </font>
    <font>
      <b/>
      <sz val="12"/>
      <color theme="1"/>
      <name val="Tahoma"/>
      <family val="2"/>
    </font>
    <font>
      <sz val="16"/>
      <name val="TH Sarabun New"/>
      <family val="2"/>
    </font>
    <font>
      <sz val="16"/>
      <name val="TH Sarabun New"/>
      <family val="2"/>
    </font>
    <font>
      <sz val="14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57">
    <xf numFmtId="0" fontId="0" fillId="0" borderId="0" xfId="0"/>
    <xf numFmtId="0" fontId="4" fillId="0" borderId="0" xfId="1" applyFont="1"/>
    <xf numFmtId="0" fontId="2" fillId="0" borderId="0" xfId="1"/>
    <xf numFmtId="0" fontId="4" fillId="0" borderId="1" xfId="1" applyFont="1" applyBorder="1" applyAlignment="1">
      <alignment wrapText="1"/>
    </xf>
    <xf numFmtId="14" fontId="2" fillId="0" borderId="0" xfId="1" applyNumberFormat="1"/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wrapText="1"/>
    </xf>
    <xf numFmtId="0" fontId="2" fillId="0" borderId="1" xfId="1" applyBorder="1" applyAlignment="1">
      <alignment vertical="center" wrapText="1"/>
    </xf>
    <xf numFmtId="164" fontId="2" fillId="0" borderId="0" xfId="1" applyNumberFormat="1"/>
    <xf numFmtId="165" fontId="2" fillId="0" borderId="0" xfId="1" applyNumberFormat="1"/>
    <xf numFmtId="0" fontId="5" fillId="0" borderId="0" xfId="2"/>
    <xf numFmtId="0" fontId="5" fillId="0" borderId="2" xfId="2" applyBorder="1"/>
    <xf numFmtId="0" fontId="5" fillId="0" borderId="2" xfId="2" applyBorder="1" applyAlignment="1">
      <alignment horizontal="center"/>
    </xf>
    <xf numFmtId="0" fontId="6" fillId="0" borderId="0" xfId="2" applyFont="1"/>
    <xf numFmtId="0" fontId="2" fillId="0" borderId="1" xfId="1" applyBorder="1"/>
    <xf numFmtId="0" fontId="7" fillId="0" borderId="0" xfId="0" applyFont="1" applyAlignment="1">
      <alignment vertical="center"/>
    </xf>
    <xf numFmtId="0" fontId="7" fillId="0" borderId="0" xfId="0" applyFont="1"/>
    <xf numFmtId="0" fontId="8" fillId="2" borderId="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0" fontId="7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9" fillId="0" borderId="1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3" fontId="9" fillId="0" borderId="1" xfId="0" applyNumberFormat="1" applyFont="1" applyBorder="1"/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0" fillId="0" borderId="7" xfId="0" applyFont="1" applyBorder="1"/>
    <xf numFmtId="3" fontId="9" fillId="0" borderId="7" xfId="0" applyNumberFormat="1" applyFont="1" applyBorder="1"/>
    <xf numFmtId="0" fontId="9" fillId="0" borderId="6" xfId="0" applyFont="1" applyBorder="1" applyAlignment="1">
      <alignment horizontal="center"/>
    </xf>
    <xf numFmtId="0" fontId="10" fillId="0" borderId="6" xfId="0" applyFont="1" applyBorder="1" applyAlignment="1">
      <alignment horizontal="left"/>
    </xf>
    <xf numFmtId="3" fontId="9" fillId="0" borderId="6" xfId="0" applyNumberFormat="1" applyFont="1" applyBorder="1"/>
    <xf numFmtId="0" fontId="9" fillId="0" borderId="6" xfId="0" applyFont="1" applyBorder="1"/>
    <xf numFmtId="0" fontId="9" fillId="0" borderId="7" xfId="0" applyFont="1" applyBorder="1" applyAlignment="1">
      <alignment horizontal="center"/>
    </xf>
    <xf numFmtId="0" fontId="10" fillId="0" borderId="7" xfId="0" applyFont="1" applyBorder="1" applyAlignment="1">
      <alignment horizontal="left"/>
    </xf>
    <xf numFmtId="0" fontId="9" fillId="0" borderId="7" xfId="0" applyFont="1" applyBorder="1"/>
    <xf numFmtId="0" fontId="10" fillId="0" borderId="9" xfId="0" applyFont="1" applyBorder="1" applyAlignment="1">
      <alignment horizontal="center"/>
    </xf>
    <xf numFmtId="0" fontId="9" fillId="0" borderId="8" xfId="0" applyFont="1" applyBorder="1"/>
    <xf numFmtId="0" fontId="5" fillId="0" borderId="0" xfId="2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3" fillId="0" borderId="3" xfId="1" applyFont="1" applyBorder="1" applyAlignment="1">
      <alignment vertical="center" wrapText="1"/>
    </xf>
    <xf numFmtId="0" fontId="3" fillId="0" borderId="4" xfId="1" applyFont="1" applyBorder="1" applyAlignment="1">
      <alignment vertical="center" wrapText="1"/>
    </xf>
    <xf numFmtId="0" fontId="4" fillId="0" borderId="1" xfId="1" applyFont="1" applyBorder="1" applyAlignment="1">
      <alignment wrapText="1"/>
    </xf>
    <xf numFmtId="0" fontId="10" fillId="0" borderId="0" xfId="0" applyFont="1" applyAlignment="1">
      <alignment horizontal="center"/>
    </xf>
    <xf numFmtId="0" fontId="14" fillId="0" borderId="0" xfId="0" quotePrefix="1" applyFont="1"/>
    <xf numFmtId="0" fontId="0" fillId="0" borderId="0" xfId="0" applyFill="1"/>
  </cellXfs>
  <cellStyles count="3">
    <cellStyle name="Normal" xfId="0" builtinId="0"/>
    <cellStyle name="Normal 2" xfId="1" xr:uid="{A80C76F4-7169-4459-A653-0F67ED96B0D0}"/>
    <cellStyle name="Normal 3" xfId="2" xr:uid="{EE5BD515-DE5E-4D19-81B4-F125A1FC4A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21ADE-5461-48D2-A9AE-3CEB0F71C763}">
  <sheetPr>
    <tabColor theme="6" tint="-0.499984740745262"/>
    <pageSetUpPr autoPageBreaks="0"/>
  </sheetPr>
  <dimension ref="A1:J34"/>
  <sheetViews>
    <sheetView zoomScaleNormal="100" workbookViewId="0">
      <selection activeCell="H18" sqref="H18"/>
    </sheetView>
  </sheetViews>
  <sheetFormatPr defaultRowHeight="15" x14ac:dyDescent="0.2"/>
  <cols>
    <col min="1" max="1" width="6.7109375" style="9" customWidth="1"/>
    <col min="2" max="2" width="63" style="2" customWidth="1"/>
    <col min="3" max="3" width="12.85546875" style="2" bestFit="1" customWidth="1"/>
    <col min="4" max="7" width="9.140625" style="2"/>
    <col min="8" max="8" width="12" style="2" bestFit="1" customWidth="1"/>
    <col min="9" max="9" width="9.140625" style="2"/>
    <col min="10" max="10" width="16.85546875" style="2" customWidth="1"/>
    <col min="11" max="16384" width="9.140625" style="2"/>
  </cols>
  <sheetData>
    <row r="1" spans="1:9" ht="32.25" customHeight="1" x14ac:dyDescent="0.2">
      <c r="A1" s="51" t="s">
        <v>45</v>
      </c>
      <c r="B1" s="52"/>
      <c r="C1" s="1"/>
      <c r="D1" s="1"/>
      <c r="E1" s="1"/>
    </row>
    <row r="2" spans="1:9" x14ac:dyDescent="0.2">
      <c r="A2" s="53" t="s">
        <v>46</v>
      </c>
      <c r="B2" s="53"/>
      <c r="G2" s="4"/>
      <c r="H2" s="4"/>
      <c r="I2" s="4"/>
    </row>
    <row r="3" spans="1:9" x14ac:dyDescent="0.2">
      <c r="A3" s="5">
        <v>1</v>
      </c>
      <c r="B3" s="6" t="s">
        <v>47</v>
      </c>
      <c r="G3" s="4"/>
      <c r="H3" s="4"/>
      <c r="I3" s="4"/>
    </row>
    <row r="4" spans="1:9" x14ac:dyDescent="0.2">
      <c r="A4" s="5">
        <v>2</v>
      </c>
      <c r="B4" s="6" t="s">
        <v>48</v>
      </c>
      <c r="G4" s="4"/>
      <c r="H4" s="4"/>
      <c r="I4" s="4"/>
    </row>
    <row r="5" spans="1:9" ht="30" x14ac:dyDescent="0.2">
      <c r="A5" s="5">
        <v>3</v>
      </c>
      <c r="B5" s="6" t="s">
        <v>247</v>
      </c>
      <c r="G5" s="4"/>
      <c r="H5" s="4"/>
      <c r="I5" s="4"/>
    </row>
    <row r="6" spans="1:9" x14ac:dyDescent="0.2">
      <c r="A6" s="5">
        <v>4</v>
      </c>
      <c r="B6" s="6" t="s">
        <v>246</v>
      </c>
      <c r="G6" s="4"/>
      <c r="H6" s="4"/>
      <c r="I6" s="4"/>
    </row>
    <row r="7" spans="1:9" x14ac:dyDescent="0.2">
      <c r="A7" s="5">
        <v>5</v>
      </c>
      <c r="B7" s="6" t="s">
        <v>248</v>
      </c>
      <c r="G7" s="4"/>
      <c r="H7" s="4"/>
      <c r="I7" s="4"/>
    </row>
    <row r="8" spans="1:9" x14ac:dyDescent="0.2">
      <c r="A8" s="5"/>
      <c r="B8" s="6"/>
      <c r="G8" s="4"/>
      <c r="H8" s="4"/>
      <c r="I8" s="4"/>
    </row>
    <row r="9" spans="1:9" x14ac:dyDescent="0.2">
      <c r="A9" s="53" t="s">
        <v>55</v>
      </c>
      <c r="B9" s="53"/>
      <c r="G9" s="4"/>
      <c r="H9" s="4"/>
      <c r="I9" s="4"/>
    </row>
    <row r="10" spans="1:9" x14ac:dyDescent="0.2">
      <c r="A10" s="5">
        <v>6</v>
      </c>
      <c r="B10" s="6" t="s">
        <v>53</v>
      </c>
      <c r="G10" s="4"/>
      <c r="H10" s="4"/>
      <c r="I10" s="4"/>
    </row>
    <row r="11" spans="1:9" x14ac:dyDescent="0.2">
      <c r="A11" s="5">
        <v>7</v>
      </c>
      <c r="B11" s="6" t="s">
        <v>54</v>
      </c>
      <c r="G11" s="4"/>
      <c r="H11" s="4"/>
      <c r="I11" s="4"/>
    </row>
    <row r="12" spans="1:9" x14ac:dyDescent="0.2">
      <c r="A12" s="5">
        <v>8</v>
      </c>
      <c r="B12" s="6" t="s">
        <v>56</v>
      </c>
      <c r="G12" s="4"/>
      <c r="H12" s="4"/>
      <c r="I12" s="4"/>
    </row>
    <row r="13" spans="1:9" x14ac:dyDescent="0.2">
      <c r="A13" s="5">
        <v>9</v>
      </c>
      <c r="B13" s="6" t="s">
        <v>244</v>
      </c>
      <c r="G13" s="4"/>
      <c r="H13" s="4"/>
      <c r="I13" s="4"/>
    </row>
    <row r="14" spans="1:9" x14ac:dyDescent="0.2">
      <c r="A14" s="7"/>
      <c r="B14" s="6"/>
      <c r="G14" s="4"/>
      <c r="H14" s="4"/>
      <c r="I14" s="4"/>
    </row>
    <row r="15" spans="1:9" x14ac:dyDescent="0.2">
      <c r="A15" s="7"/>
      <c r="B15" s="3" t="s">
        <v>49</v>
      </c>
      <c r="G15" s="4"/>
      <c r="H15" s="4"/>
      <c r="I15" s="4"/>
    </row>
    <row r="16" spans="1:9" x14ac:dyDescent="0.2">
      <c r="A16" s="5">
        <v>10</v>
      </c>
      <c r="B16" s="6" t="s">
        <v>253</v>
      </c>
      <c r="G16" s="4"/>
      <c r="H16" s="4"/>
      <c r="I16" s="4"/>
    </row>
    <row r="17" spans="1:10" x14ac:dyDescent="0.2">
      <c r="A17" s="5">
        <v>11</v>
      </c>
      <c r="B17" s="6" t="s">
        <v>50</v>
      </c>
      <c r="G17" s="4"/>
      <c r="H17" s="4"/>
      <c r="I17" s="4"/>
      <c r="J17" s="8"/>
    </row>
    <row r="18" spans="1:10" x14ac:dyDescent="0.2">
      <c r="A18" s="5">
        <v>12</v>
      </c>
      <c r="B18" s="6" t="s">
        <v>245</v>
      </c>
      <c r="G18" s="4"/>
      <c r="H18" s="4"/>
      <c r="I18" s="4"/>
    </row>
    <row r="19" spans="1:10" x14ac:dyDescent="0.2">
      <c r="A19" s="5">
        <v>13</v>
      </c>
      <c r="B19" s="6" t="s">
        <v>51</v>
      </c>
      <c r="G19" s="4"/>
      <c r="H19" s="4"/>
      <c r="I19" s="4"/>
    </row>
    <row r="20" spans="1:10" x14ac:dyDescent="0.2">
      <c r="A20" s="5">
        <v>14</v>
      </c>
      <c r="B20" s="6" t="s">
        <v>52</v>
      </c>
      <c r="G20" s="4"/>
      <c r="H20" s="4"/>
      <c r="I20" s="4"/>
    </row>
    <row r="21" spans="1:10" x14ac:dyDescent="0.2">
      <c r="A21" s="4"/>
      <c r="G21" s="4"/>
      <c r="H21" s="4"/>
      <c r="I21" s="4"/>
    </row>
    <row r="22" spans="1:10" x14ac:dyDescent="0.2">
      <c r="A22" s="53" t="s">
        <v>249</v>
      </c>
      <c r="B22" s="53"/>
      <c r="G22" s="4"/>
      <c r="H22" s="4"/>
      <c r="I22" s="4"/>
    </row>
    <row r="23" spans="1:10" x14ac:dyDescent="0.2">
      <c r="A23" s="5">
        <v>15</v>
      </c>
      <c r="B23" s="6" t="s">
        <v>250</v>
      </c>
      <c r="G23" s="4"/>
      <c r="H23" s="4"/>
      <c r="I23" s="4"/>
    </row>
    <row r="24" spans="1:10" x14ac:dyDescent="0.2">
      <c r="A24" s="5">
        <v>16</v>
      </c>
      <c r="B24" s="6" t="s">
        <v>251</v>
      </c>
      <c r="G24" s="4"/>
      <c r="H24" s="4"/>
      <c r="I24" s="4"/>
    </row>
    <row r="25" spans="1:10" x14ac:dyDescent="0.2">
      <c r="A25" s="5">
        <v>17</v>
      </c>
      <c r="B25" s="14" t="s">
        <v>252</v>
      </c>
      <c r="G25" s="4"/>
      <c r="H25" s="4"/>
      <c r="I25" s="4"/>
    </row>
    <row r="26" spans="1:10" x14ac:dyDescent="0.2">
      <c r="A26" s="4"/>
      <c r="G26" s="4"/>
      <c r="H26" s="4"/>
      <c r="I26" s="4"/>
    </row>
    <row r="27" spans="1:10" x14ac:dyDescent="0.2">
      <c r="A27" s="4"/>
      <c r="G27" s="4"/>
      <c r="H27" s="4"/>
      <c r="I27" s="4"/>
    </row>
    <row r="28" spans="1:10" x14ac:dyDescent="0.2">
      <c r="A28" s="4"/>
      <c r="G28" s="4"/>
      <c r="H28" s="4"/>
      <c r="I28" s="4"/>
    </row>
    <row r="29" spans="1:10" x14ac:dyDescent="0.2">
      <c r="A29" s="4"/>
      <c r="G29" s="4"/>
      <c r="H29" s="4"/>
      <c r="I29" s="4"/>
    </row>
    <row r="30" spans="1:10" x14ac:dyDescent="0.2">
      <c r="A30" s="4"/>
      <c r="G30" s="4"/>
      <c r="H30" s="4"/>
      <c r="I30" s="4"/>
    </row>
    <row r="31" spans="1:10" x14ac:dyDescent="0.2">
      <c r="A31" s="4"/>
      <c r="G31" s="4"/>
      <c r="H31" s="4"/>
      <c r="I31" s="4"/>
    </row>
    <row r="32" spans="1:10" x14ac:dyDescent="0.2">
      <c r="A32" s="4"/>
      <c r="G32" s="4"/>
      <c r="H32" s="4"/>
      <c r="I32" s="4"/>
    </row>
    <row r="33" spans="1:9" x14ac:dyDescent="0.2">
      <c r="A33" s="4"/>
      <c r="G33" s="4"/>
      <c r="H33" s="4"/>
      <c r="I33" s="4"/>
    </row>
    <row r="34" spans="1:9" x14ac:dyDescent="0.2">
      <c r="A34" s="4"/>
      <c r="G34" s="4"/>
      <c r="H34" s="4"/>
      <c r="I34" s="4"/>
    </row>
  </sheetData>
  <mergeCells count="4">
    <mergeCell ref="A1:B1"/>
    <mergeCell ref="A2:B2"/>
    <mergeCell ref="A9:B9"/>
    <mergeCell ref="A22:B2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250A-C665-4F84-9B41-905A94E6A4E5}">
  <dimension ref="A1:F66"/>
  <sheetViews>
    <sheetView workbookViewId="0">
      <selection activeCell="K7" sqref="K7"/>
    </sheetView>
  </sheetViews>
  <sheetFormatPr defaultRowHeight="24" x14ac:dyDescent="0.55000000000000004"/>
  <cols>
    <col min="1" max="1" width="6.7109375" style="10" customWidth="1"/>
    <col min="2" max="2" width="12.42578125" style="10" customWidth="1"/>
    <col min="3" max="3" width="35.28515625" style="10" customWidth="1"/>
    <col min="4" max="16384" width="9.140625" style="10"/>
  </cols>
  <sheetData>
    <row r="1" spans="1:6" x14ac:dyDescent="0.55000000000000004">
      <c r="A1" s="10" t="s">
        <v>57</v>
      </c>
    </row>
    <row r="2" spans="1:6" x14ac:dyDescent="0.55000000000000004">
      <c r="A2" s="10" t="s">
        <v>58</v>
      </c>
    </row>
    <row r="3" spans="1:6" x14ac:dyDescent="0.55000000000000004">
      <c r="A3" s="10" t="s">
        <v>59</v>
      </c>
    </row>
    <row r="4" spans="1:6" x14ac:dyDescent="0.55000000000000004">
      <c r="A4" s="10" t="s">
        <v>60</v>
      </c>
    </row>
    <row r="6" spans="1:6" x14ac:dyDescent="0.55000000000000004">
      <c r="A6" s="12" t="s">
        <v>31</v>
      </c>
      <c r="B6" s="12" t="s">
        <v>61</v>
      </c>
      <c r="C6" s="12" t="s">
        <v>62</v>
      </c>
      <c r="D6" s="10" t="s">
        <v>241</v>
      </c>
      <c r="E6" s="10" t="s">
        <v>242</v>
      </c>
      <c r="F6" s="10" t="s">
        <v>243</v>
      </c>
    </row>
    <row r="7" spans="1:6" x14ac:dyDescent="0.55000000000000004">
      <c r="A7" s="11" t="s">
        <v>63</v>
      </c>
      <c r="B7" s="11" t="s">
        <v>64</v>
      </c>
      <c r="C7" s="11" t="s">
        <v>65</v>
      </c>
      <c r="D7" s="13"/>
    </row>
    <row r="8" spans="1:6" x14ac:dyDescent="0.55000000000000004">
      <c r="A8" s="11" t="s">
        <v>66</v>
      </c>
      <c r="B8" s="11" t="s">
        <v>67</v>
      </c>
      <c r="C8" s="11" t="s">
        <v>68</v>
      </c>
    </row>
    <row r="9" spans="1:6" x14ac:dyDescent="0.55000000000000004">
      <c r="A9" s="11" t="s">
        <v>69</v>
      </c>
      <c r="B9" s="11" t="s">
        <v>70</v>
      </c>
      <c r="C9" s="11" t="s">
        <v>71</v>
      </c>
    </row>
    <row r="10" spans="1:6" x14ac:dyDescent="0.55000000000000004">
      <c r="A10" s="11" t="s">
        <v>72</v>
      </c>
      <c r="B10" s="11" t="s">
        <v>73</v>
      </c>
      <c r="C10" s="11" t="s">
        <v>74</v>
      </c>
    </row>
    <row r="11" spans="1:6" x14ac:dyDescent="0.55000000000000004">
      <c r="A11" s="11" t="s">
        <v>75</v>
      </c>
      <c r="B11" s="11" t="s">
        <v>76</v>
      </c>
      <c r="C11" s="11" t="s">
        <v>77</v>
      </c>
    </row>
    <row r="12" spans="1:6" x14ac:dyDescent="0.55000000000000004">
      <c r="A12" s="11" t="s">
        <v>78</v>
      </c>
      <c r="B12" s="11" t="s">
        <v>79</v>
      </c>
      <c r="C12" s="11" t="s">
        <v>80</v>
      </c>
    </row>
    <row r="13" spans="1:6" x14ac:dyDescent="0.55000000000000004">
      <c r="A13" s="11" t="s">
        <v>81</v>
      </c>
      <c r="B13" s="11" t="s">
        <v>82</v>
      </c>
      <c r="C13" s="11" t="s">
        <v>83</v>
      </c>
    </row>
    <row r="14" spans="1:6" x14ac:dyDescent="0.55000000000000004">
      <c r="A14" s="11" t="s">
        <v>84</v>
      </c>
      <c r="B14" s="11" t="s">
        <v>85</v>
      </c>
      <c r="C14" s="11" t="s">
        <v>86</v>
      </c>
    </row>
    <row r="15" spans="1:6" x14ac:dyDescent="0.55000000000000004">
      <c r="A15" s="11" t="s">
        <v>87</v>
      </c>
      <c r="B15" s="11" t="s">
        <v>88</v>
      </c>
      <c r="C15" s="11" t="s">
        <v>89</v>
      </c>
    </row>
    <row r="16" spans="1:6" x14ac:dyDescent="0.55000000000000004">
      <c r="A16" s="11" t="s">
        <v>90</v>
      </c>
      <c r="B16" s="11" t="s">
        <v>91</v>
      </c>
      <c r="C16" s="11" t="s">
        <v>92</v>
      </c>
    </row>
    <row r="17" spans="1:3" x14ac:dyDescent="0.55000000000000004">
      <c r="A17" s="11" t="s">
        <v>93</v>
      </c>
      <c r="B17" s="11" t="s">
        <v>94</v>
      </c>
      <c r="C17" s="11" t="s">
        <v>95</v>
      </c>
    </row>
    <row r="18" spans="1:3" x14ac:dyDescent="0.55000000000000004">
      <c r="A18" s="11" t="s">
        <v>96</v>
      </c>
      <c r="B18" s="11" t="s">
        <v>97</v>
      </c>
      <c r="C18" s="11" t="s">
        <v>98</v>
      </c>
    </row>
    <row r="19" spans="1:3" x14ac:dyDescent="0.55000000000000004">
      <c r="A19" s="11" t="s">
        <v>99</v>
      </c>
      <c r="B19" s="11" t="s">
        <v>100</v>
      </c>
      <c r="C19" s="11" t="s">
        <v>101</v>
      </c>
    </row>
    <row r="20" spans="1:3" x14ac:dyDescent="0.55000000000000004">
      <c r="A20" s="11" t="s">
        <v>102</v>
      </c>
      <c r="B20" s="11" t="s">
        <v>103</v>
      </c>
      <c r="C20" s="11" t="s">
        <v>104</v>
      </c>
    </row>
    <row r="21" spans="1:3" x14ac:dyDescent="0.55000000000000004">
      <c r="A21" s="11" t="s">
        <v>105</v>
      </c>
      <c r="B21" s="11" t="s">
        <v>106</v>
      </c>
      <c r="C21" s="11" t="s">
        <v>107</v>
      </c>
    </row>
    <row r="22" spans="1:3" x14ac:dyDescent="0.55000000000000004">
      <c r="A22" s="11" t="s">
        <v>108</v>
      </c>
      <c r="B22" s="11" t="s">
        <v>109</v>
      </c>
      <c r="C22" s="11" t="s">
        <v>110</v>
      </c>
    </row>
    <row r="23" spans="1:3" x14ac:dyDescent="0.55000000000000004">
      <c r="A23" s="11" t="s">
        <v>111</v>
      </c>
      <c r="B23" s="11" t="s">
        <v>112</v>
      </c>
      <c r="C23" s="11" t="s">
        <v>113</v>
      </c>
    </row>
    <row r="24" spans="1:3" x14ac:dyDescent="0.55000000000000004">
      <c r="A24" s="11" t="s">
        <v>114</v>
      </c>
      <c r="B24" s="11" t="s">
        <v>115</v>
      </c>
      <c r="C24" s="11" t="s">
        <v>116</v>
      </c>
    </row>
    <row r="25" spans="1:3" x14ac:dyDescent="0.55000000000000004">
      <c r="A25" s="11" t="s">
        <v>117</v>
      </c>
      <c r="B25" s="11" t="s">
        <v>118</v>
      </c>
      <c r="C25" s="11" t="s">
        <v>119</v>
      </c>
    </row>
    <row r="26" spans="1:3" x14ac:dyDescent="0.55000000000000004">
      <c r="A26" s="11" t="s">
        <v>120</v>
      </c>
      <c r="B26" s="11" t="s">
        <v>121</v>
      </c>
      <c r="C26" s="11" t="s">
        <v>122</v>
      </c>
    </row>
    <row r="27" spans="1:3" x14ac:dyDescent="0.55000000000000004">
      <c r="A27" s="11" t="s">
        <v>123</v>
      </c>
      <c r="B27" s="11" t="s">
        <v>124</v>
      </c>
      <c r="C27" s="11" t="s">
        <v>125</v>
      </c>
    </row>
    <row r="28" spans="1:3" x14ac:dyDescent="0.55000000000000004">
      <c r="A28" s="11" t="s">
        <v>126</v>
      </c>
      <c r="B28" s="11" t="s">
        <v>127</v>
      </c>
      <c r="C28" s="11" t="s">
        <v>128</v>
      </c>
    </row>
    <row r="29" spans="1:3" x14ac:dyDescent="0.55000000000000004">
      <c r="A29" s="11" t="s">
        <v>129</v>
      </c>
      <c r="B29" s="11" t="s">
        <v>130</v>
      </c>
      <c r="C29" s="11" t="s">
        <v>131</v>
      </c>
    </row>
    <row r="30" spans="1:3" x14ac:dyDescent="0.55000000000000004">
      <c r="A30" s="11" t="s">
        <v>132</v>
      </c>
      <c r="B30" s="11" t="s">
        <v>133</v>
      </c>
      <c r="C30" s="11" t="s">
        <v>134</v>
      </c>
    </row>
    <row r="31" spans="1:3" x14ac:dyDescent="0.55000000000000004">
      <c r="A31" s="11" t="s">
        <v>135</v>
      </c>
      <c r="B31" s="11" t="s">
        <v>136</v>
      </c>
      <c r="C31" s="11" t="s">
        <v>137</v>
      </c>
    </row>
    <row r="32" spans="1:3" x14ac:dyDescent="0.55000000000000004">
      <c r="A32" s="11" t="s">
        <v>138</v>
      </c>
      <c r="B32" s="11" t="s">
        <v>139</v>
      </c>
      <c r="C32" s="11" t="s">
        <v>140</v>
      </c>
    </row>
    <row r="33" spans="1:3" x14ac:dyDescent="0.55000000000000004">
      <c r="A33" s="11" t="s">
        <v>141</v>
      </c>
      <c r="B33" s="11" t="s">
        <v>142</v>
      </c>
      <c r="C33" s="11" t="s">
        <v>261</v>
      </c>
    </row>
    <row r="34" spans="1:3" x14ac:dyDescent="0.55000000000000004">
      <c r="A34" s="11" t="s">
        <v>144</v>
      </c>
      <c r="B34" s="11" t="s">
        <v>145</v>
      </c>
      <c r="C34" s="11" t="s">
        <v>146</v>
      </c>
    </row>
    <row r="35" spans="1:3" x14ac:dyDescent="0.55000000000000004">
      <c r="A35" s="11" t="s">
        <v>147</v>
      </c>
      <c r="B35" s="11" t="s">
        <v>148</v>
      </c>
      <c r="C35" s="11" t="s">
        <v>149</v>
      </c>
    </row>
    <row r="36" spans="1:3" x14ac:dyDescent="0.55000000000000004">
      <c r="A36" s="11" t="s">
        <v>150</v>
      </c>
      <c r="B36" s="11" t="s">
        <v>151</v>
      </c>
      <c r="C36" s="11" t="s">
        <v>152</v>
      </c>
    </row>
    <row r="37" spans="1:3" x14ac:dyDescent="0.55000000000000004">
      <c r="A37" s="11" t="s">
        <v>153</v>
      </c>
      <c r="B37" s="11" t="s">
        <v>154</v>
      </c>
      <c r="C37" s="11" t="s">
        <v>155</v>
      </c>
    </row>
    <row r="38" spans="1:3" x14ac:dyDescent="0.55000000000000004">
      <c r="A38" s="11" t="s">
        <v>156</v>
      </c>
      <c r="B38" s="11" t="s">
        <v>157</v>
      </c>
      <c r="C38" s="11" t="s">
        <v>158</v>
      </c>
    </row>
    <row r="39" spans="1:3" x14ac:dyDescent="0.55000000000000004">
      <c r="A39" s="11" t="s">
        <v>159</v>
      </c>
      <c r="B39" s="11" t="s">
        <v>160</v>
      </c>
      <c r="C39" s="11" t="s">
        <v>161</v>
      </c>
    </row>
    <row r="40" spans="1:3" x14ac:dyDescent="0.55000000000000004">
      <c r="A40" s="11" t="s">
        <v>162</v>
      </c>
      <c r="B40" s="11" t="s">
        <v>163</v>
      </c>
      <c r="C40" s="11" t="s">
        <v>164</v>
      </c>
    </row>
    <row r="41" spans="1:3" x14ac:dyDescent="0.55000000000000004">
      <c r="A41" s="11" t="s">
        <v>165</v>
      </c>
      <c r="B41" s="11" t="s">
        <v>166</v>
      </c>
      <c r="C41" s="11" t="s">
        <v>167</v>
      </c>
    </row>
    <row r="42" spans="1:3" x14ac:dyDescent="0.55000000000000004">
      <c r="A42" s="11" t="s">
        <v>168</v>
      </c>
      <c r="B42" s="11" t="s">
        <v>169</v>
      </c>
      <c r="C42" s="11" t="s">
        <v>170</v>
      </c>
    </row>
    <row r="43" spans="1:3" x14ac:dyDescent="0.55000000000000004">
      <c r="A43" s="11" t="s">
        <v>171</v>
      </c>
      <c r="B43" s="11" t="s">
        <v>172</v>
      </c>
      <c r="C43" s="11" t="s">
        <v>173</v>
      </c>
    </row>
    <row r="44" spans="1:3" x14ac:dyDescent="0.55000000000000004">
      <c r="A44" s="11" t="s">
        <v>174</v>
      </c>
      <c r="B44" s="11" t="s">
        <v>175</v>
      </c>
      <c r="C44" s="11" t="s">
        <v>176</v>
      </c>
    </row>
    <row r="45" spans="1:3" x14ac:dyDescent="0.55000000000000004">
      <c r="A45" s="11" t="s">
        <v>177</v>
      </c>
      <c r="B45" s="11" t="s">
        <v>178</v>
      </c>
      <c r="C45" s="11" t="s">
        <v>179</v>
      </c>
    </row>
    <row r="46" spans="1:3" x14ac:dyDescent="0.55000000000000004">
      <c r="A46" s="11" t="s">
        <v>180</v>
      </c>
      <c r="B46" s="11" t="s">
        <v>181</v>
      </c>
      <c r="C46" s="11" t="s">
        <v>182</v>
      </c>
    </row>
    <row r="47" spans="1:3" x14ac:dyDescent="0.55000000000000004">
      <c r="A47" s="11" t="s">
        <v>183</v>
      </c>
      <c r="B47" s="11" t="s">
        <v>184</v>
      </c>
      <c r="C47" s="11" t="s">
        <v>185</v>
      </c>
    </row>
    <row r="48" spans="1:3" x14ac:dyDescent="0.55000000000000004">
      <c r="A48" s="11" t="s">
        <v>186</v>
      </c>
      <c r="B48" s="11" t="s">
        <v>187</v>
      </c>
      <c r="C48" s="11" t="s">
        <v>188</v>
      </c>
    </row>
    <row r="49" spans="1:3" x14ac:dyDescent="0.55000000000000004">
      <c r="A49" s="11" t="s">
        <v>189</v>
      </c>
      <c r="B49" s="11" t="s">
        <v>190</v>
      </c>
      <c r="C49" s="11" t="s">
        <v>191</v>
      </c>
    </row>
    <row r="50" spans="1:3" x14ac:dyDescent="0.55000000000000004">
      <c r="A50" s="11" t="s">
        <v>192</v>
      </c>
      <c r="B50" s="11" t="s">
        <v>193</v>
      </c>
      <c r="C50" s="11" t="s">
        <v>194</v>
      </c>
    </row>
    <row r="51" spans="1:3" x14ac:dyDescent="0.55000000000000004">
      <c r="A51" s="11" t="s">
        <v>195</v>
      </c>
      <c r="B51" s="11" t="s">
        <v>196</v>
      </c>
      <c r="C51" s="11" t="s">
        <v>197</v>
      </c>
    </row>
    <row r="52" spans="1:3" x14ac:dyDescent="0.55000000000000004">
      <c r="A52" s="11" t="s">
        <v>198</v>
      </c>
      <c r="B52" s="11" t="s">
        <v>199</v>
      </c>
      <c r="C52" s="11" t="s">
        <v>200</v>
      </c>
    </row>
    <row r="53" spans="1:3" x14ac:dyDescent="0.55000000000000004">
      <c r="A53" s="11" t="s">
        <v>201</v>
      </c>
      <c r="B53" s="11" t="s">
        <v>202</v>
      </c>
      <c r="C53" s="11" t="s">
        <v>203</v>
      </c>
    </row>
    <row r="54" spans="1:3" x14ac:dyDescent="0.55000000000000004">
      <c r="A54" s="11" t="s">
        <v>204</v>
      </c>
      <c r="B54" s="11" t="s">
        <v>205</v>
      </c>
      <c r="C54" s="11" t="s">
        <v>206</v>
      </c>
    </row>
    <row r="55" spans="1:3" x14ac:dyDescent="0.55000000000000004">
      <c r="A55" s="11" t="s">
        <v>207</v>
      </c>
      <c r="B55" s="11" t="s">
        <v>208</v>
      </c>
      <c r="C55" s="11" t="s">
        <v>209</v>
      </c>
    </row>
    <row r="56" spans="1:3" x14ac:dyDescent="0.55000000000000004">
      <c r="A56" s="11" t="s">
        <v>210</v>
      </c>
      <c r="B56" s="11" t="s">
        <v>211</v>
      </c>
      <c r="C56" s="11" t="s">
        <v>212</v>
      </c>
    </row>
    <row r="57" spans="1:3" x14ac:dyDescent="0.55000000000000004">
      <c r="A57" s="11" t="s">
        <v>213</v>
      </c>
      <c r="B57" s="11" t="s">
        <v>214</v>
      </c>
      <c r="C57" s="11" t="s">
        <v>215</v>
      </c>
    </row>
    <row r="58" spans="1:3" x14ac:dyDescent="0.55000000000000004">
      <c r="A58" s="11" t="s">
        <v>216</v>
      </c>
      <c r="B58" s="11" t="s">
        <v>217</v>
      </c>
      <c r="C58" s="11" t="s">
        <v>218</v>
      </c>
    </row>
    <row r="59" spans="1:3" x14ac:dyDescent="0.55000000000000004">
      <c r="A59" s="11" t="s">
        <v>219</v>
      </c>
      <c r="B59" s="11" t="s">
        <v>220</v>
      </c>
      <c r="C59" s="11" t="s">
        <v>221</v>
      </c>
    </row>
    <row r="60" spans="1:3" x14ac:dyDescent="0.55000000000000004">
      <c r="A60" s="11" t="s">
        <v>222</v>
      </c>
      <c r="B60" s="11" t="s">
        <v>223</v>
      </c>
      <c r="C60" s="11" t="s">
        <v>224</v>
      </c>
    </row>
    <row r="61" spans="1:3" x14ac:dyDescent="0.55000000000000004">
      <c r="A61" s="11" t="s">
        <v>225</v>
      </c>
      <c r="B61" s="11" t="s">
        <v>226</v>
      </c>
      <c r="C61" s="11" t="s">
        <v>227</v>
      </c>
    </row>
    <row r="62" spans="1:3" x14ac:dyDescent="0.55000000000000004">
      <c r="A62" s="11" t="s">
        <v>228</v>
      </c>
      <c r="B62" s="11" t="s">
        <v>229</v>
      </c>
      <c r="C62" s="11" t="s">
        <v>230</v>
      </c>
    </row>
    <row r="63" spans="1:3" x14ac:dyDescent="0.55000000000000004">
      <c r="A63" s="11" t="s">
        <v>231</v>
      </c>
      <c r="B63" s="11" t="s">
        <v>232</v>
      </c>
      <c r="C63" s="11" t="s">
        <v>233</v>
      </c>
    </row>
    <row r="64" spans="1:3" x14ac:dyDescent="0.55000000000000004">
      <c r="A64" s="11" t="s">
        <v>234</v>
      </c>
      <c r="B64" s="11" t="s">
        <v>235</v>
      </c>
      <c r="C64" s="11" t="s">
        <v>236</v>
      </c>
    </row>
    <row r="65" spans="1:3" x14ac:dyDescent="0.55000000000000004">
      <c r="A65" s="11" t="s">
        <v>237</v>
      </c>
      <c r="B65" s="11" t="s">
        <v>238</v>
      </c>
      <c r="C65" s="11" t="s">
        <v>239</v>
      </c>
    </row>
    <row r="66" spans="1:3" x14ac:dyDescent="0.55000000000000004">
      <c r="A66" s="10" t="s">
        <v>240</v>
      </c>
    </row>
  </sheetData>
  <phoneticPr fontId="1" type="noConversion"/>
  <pageMargins left="0.7" right="0.7" top="0.75" bottom="0.75" header="0.3" footer="0.3"/>
  <ignoredErrors>
    <ignoredError sqref="A7:B6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847F9-E857-4018-BF62-62932D75A629}">
  <dimension ref="A1:F66"/>
  <sheetViews>
    <sheetView workbookViewId="0">
      <selection activeCell="F50" sqref="F50"/>
    </sheetView>
  </sheetViews>
  <sheetFormatPr defaultRowHeight="24" x14ac:dyDescent="0.55000000000000004"/>
  <cols>
    <col min="1" max="1" width="6.7109375" style="10" customWidth="1"/>
    <col min="2" max="2" width="12.42578125" style="10" customWidth="1"/>
    <col min="3" max="3" width="35.28515625" style="10" customWidth="1"/>
    <col min="4" max="16384" width="9.140625" style="10"/>
  </cols>
  <sheetData>
    <row r="1" spans="1:6" x14ac:dyDescent="0.55000000000000004">
      <c r="A1" s="10" t="s">
        <v>57</v>
      </c>
    </row>
    <row r="2" spans="1:6" x14ac:dyDescent="0.55000000000000004">
      <c r="A2" s="10" t="s">
        <v>58</v>
      </c>
    </row>
    <row r="3" spans="1:6" x14ac:dyDescent="0.55000000000000004">
      <c r="A3" s="10" t="s">
        <v>59</v>
      </c>
    </row>
    <row r="4" spans="1:6" x14ac:dyDescent="0.55000000000000004">
      <c r="A4" s="10" t="s">
        <v>60</v>
      </c>
    </row>
    <row r="6" spans="1:6" x14ac:dyDescent="0.55000000000000004">
      <c r="A6" s="12" t="s">
        <v>31</v>
      </c>
      <c r="B6" s="12" t="s">
        <v>61</v>
      </c>
      <c r="C6" s="12" t="s">
        <v>62</v>
      </c>
      <c r="D6" s="10" t="s">
        <v>241</v>
      </c>
      <c r="E6" s="10" t="s">
        <v>242</v>
      </c>
      <c r="F6" s="10" t="s">
        <v>243</v>
      </c>
    </row>
    <row r="7" spans="1:6" x14ac:dyDescent="0.55000000000000004">
      <c r="A7" s="11" t="s">
        <v>63</v>
      </c>
      <c r="B7" s="11" t="s">
        <v>64</v>
      </c>
      <c r="C7" s="11" t="s">
        <v>65</v>
      </c>
      <c r="D7" s="13"/>
    </row>
    <row r="8" spans="1:6" x14ac:dyDescent="0.55000000000000004">
      <c r="A8" s="11" t="s">
        <v>66</v>
      </c>
      <c r="B8" s="11" t="s">
        <v>67</v>
      </c>
      <c r="C8" s="11" t="s">
        <v>68</v>
      </c>
    </row>
    <row r="9" spans="1:6" x14ac:dyDescent="0.55000000000000004">
      <c r="A9" s="11" t="s">
        <v>69</v>
      </c>
      <c r="B9" s="11" t="s">
        <v>70</v>
      </c>
      <c r="C9" s="11" t="s">
        <v>71</v>
      </c>
    </row>
    <row r="10" spans="1:6" x14ac:dyDescent="0.55000000000000004">
      <c r="A10" s="11" t="s">
        <v>72</v>
      </c>
      <c r="B10" s="11" t="s">
        <v>73</v>
      </c>
      <c r="C10" s="11" t="s">
        <v>74</v>
      </c>
    </row>
    <row r="11" spans="1:6" x14ac:dyDescent="0.55000000000000004">
      <c r="A11" s="11" t="s">
        <v>75</v>
      </c>
      <c r="B11" s="11" t="s">
        <v>76</v>
      </c>
      <c r="C11" s="11" t="s">
        <v>77</v>
      </c>
    </row>
    <row r="12" spans="1:6" x14ac:dyDescent="0.55000000000000004">
      <c r="A12" s="11" t="s">
        <v>78</v>
      </c>
      <c r="B12" s="11" t="s">
        <v>79</v>
      </c>
      <c r="C12" s="11" t="s">
        <v>80</v>
      </c>
    </row>
    <row r="13" spans="1:6" x14ac:dyDescent="0.55000000000000004">
      <c r="A13" s="11" t="s">
        <v>81</v>
      </c>
      <c r="B13" s="11" t="s">
        <v>82</v>
      </c>
      <c r="C13" s="11" t="s">
        <v>83</v>
      </c>
    </row>
    <row r="14" spans="1:6" x14ac:dyDescent="0.55000000000000004">
      <c r="A14" s="11" t="s">
        <v>84</v>
      </c>
      <c r="B14" s="11" t="s">
        <v>85</v>
      </c>
      <c r="C14" s="11" t="s">
        <v>86</v>
      </c>
    </row>
    <row r="15" spans="1:6" x14ac:dyDescent="0.55000000000000004">
      <c r="A15" s="11" t="s">
        <v>87</v>
      </c>
      <c r="B15" s="11" t="s">
        <v>88</v>
      </c>
      <c r="C15" s="11" t="s">
        <v>89</v>
      </c>
    </row>
    <row r="16" spans="1:6" x14ac:dyDescent="0.55000000000000004">
      <c r="A16" s="11" t="s">
        <v>90</v>
      </c>
      <c r="B16" s="11" t="s">
        <v>91</v>
      </c>
      <c r="C16" s="11" t="s">
        <v>92</v>
      </c>
    </row>
    <row r="17" spans="1:3" x14ac:dyDescent="0.55000000000000004">
      <c r="A17" s="11" t="s">
        <v>93</v>
      </c>
      <c r="B17" s="11" t="s">
        <v>94</v>
      </c>
      <c r="C17" s="11" t="s">
        <v>95</v>
      </c>
    </row>
    <row r="18" spans="1:3" x14ac:dyDescent="0.55000000000000004">
      <c r="A18" s="11" t="s">
        <v>96</v>
      </c>
      <c r="B18" s="11" t="s">
        <v>97</v>
      </c>
      <c r="C18" s="11" t="s">
        <v>98</v>
      </c>
    </row>
    <row r="19" spans="1:3" x14ac:dyDescent="0.55000000000000004">
      <c r="A19" s="11" t="s">
        <v>99</v>
      </c>
      <c r="B19" s="11" t="s">
        <v>100</v>
      </c>
      <c r="C19" s="11" t="s">
        <v>101</v>
      </c>
    </row>
    <row r="20" spans="1:3" x14ac:dyDescent="0.55000000000000004">
      <c r="A20" s="11" t="s">
        <v>102</v>
      </c>
      <c r="B20" s="11" t="s">
        <v>103</v>
      </c>
      <c r="C20" s="11" t="s">
        <v>104</v>
      </c>
    </row>
    <row r="21" spans="1:3" x14ac:dyDescent="0.55000000000000004">
      <c r="A21" s="11" t="s">
        <v>105</v>
      </c>
      <c r="B21" s="11" t="s">
        <v>106</v>
      </c>
      <c r="C21" s="11" t="s">
        <v>107</v>
      </c>
    </row>
    <row r="22" spans="1:3" x14ac:dyDescent="0.55000000000000004">
      <c r="A22" s="11" t="s">
        <v>108</v>
      </c>
      <c r="B22" s="11" t="s">
        <v>109</v>
      </c>
      <c r="C22" s="11" t="s">
        <v>110</v>
      </c>
    </row>
    <row r="23" spans="1:3" x14ac:dyDescent="0.55000000000000004">
      <c r="A23" s="11" t="s">
        <v>111</v>
      </c>
      <c r="B23" s="11" t="s">
        <v>112</v>
      </c>
      <c r="C23" s="11" t="s">
        <v>113</v>
      </c>
    </row>
    <row r="24" spans="1:3" x14ac:dyDescent="0.55000000000000004">
      <c r="A24" s="11" t="s">
        <v>114</v>
      </c>
      <c r="B24" s="11" t="s">
        <v>115</v>
      </c>
      <c r="C24" s="11" t="s">
        <v>116</v>
      </c>
    </row>
    <row r="25" spans="1:3" x14ac:dyDescent="0.55000000000000004">
      <c r="A25" s="11" t="s">
        <v>117</v>
      </c>
      <c r="B25" s="11" t="s">
        <v>118</v>
      </c>
      <c r="C25" s="11" t="s">
        <v>119</v>
      </c>
    </row>
    <row r="26" spans="1:3" x14ac:dyDescent="0.55000000000000004">
      <c r="A26" s="11" t="s">
        <v>120</v>
      </c>
      <c r="B26" s="11" t="s">
        <v>121</v>
      </c>
      <c r="C26" s="11" t="s">
        <v>122</v>
      </c>
    </row>
    <row r="27" spans="1:3" x14ac:dyDescent="0.55000000000000004">
      <c r="A27" s="11" t="s">
        <v>123</v>
      </c>
      <c r="B27" s="11" t="s">
        <v>124</v>
      </c>
      <c r="C27" s="11" t="s">
        <v>125</v>
      </c>
    </row>
    <row r="28" spans="1:3" x14ac:dyDescent="0.55000000000000004">
      <c r="A28" s="11" t="s">
        <v>126</v>
      </c>
      <c r="B28" s="11" t="s">
        <v>127</v>
      </c>
      <c r="C28" s="11" t="s">
        <v>128</v>
      </c>
    </row>
    <row r="29" spans="1:3" x14ac:dyDescent="0.55000000000000004">
      <c r="A29" s="11" t="s">
        <v>129</v>
      </c>
      <c r="B29" s="11" t="s">
        <v>130</v>
      </c>
      <c r="C29" s="11" t="s">
        <v>131</v>
      </c>
    </row>
    <row r="30" spans="1:3" x14ac:dyDescent="0.55000000000000004">
      <c r="A30" s="11" t="s">
        <v>132</v>
      </c>
      <c r="B30" s="11" t="s">
        <v>133</v>
      </c>
      <c r="C30" s="11" t="s">
        <v>134</v>
      </c>
    </row>
    <row r="31" spans="1:3" x14ac:dyDescent="0.55000000000000004">
      <c r="A31" s="11" t="s">
        <v>135</v>
      </c>
      <c r="B31" s="11" t="s">
        <v>136</v>
      </c>
      <c r="C31" s="11" t="s">
        <v>137</v>
      </c>
    </row>
    <row r="32" spans="1:3" x14ac:dyDescent="0.55000000000000004">
      <c r="A32" s="11" t="s">
        <v>138</v>
      </c>
      <c r="B32" s="11" t="s">
        <v>139</v>
      </c>
      <c r="C32" s="11" t="s">
        <v>140</v>
      </c>
    </row>
    <row r="33" spans="1:3" x14ac:dyDescent="0.55000000000000004">
      <c r="A33" s="11" t="s">
        <v>141</v>
      </c>
      <c r="B33" s="11" t="s">
        <v>142</v>
      </c>
      <c r="C33" s="11" t="s">
        <v>143</v>
      </c>
    </row>
    <row r="34" spans="1:3" x14ac:dyDescent="0.55000000000000004">
      <c r="A34" s="11" t="s">
        <v>144</v>
      </c>
      <c r="B34" s="11" t="s">
        <v>145</v>
      </c>
      <c r="C34" s="11" t="s">
        <v>146</v>
      </c>
    </row>
    <row r="35" spans="1:3" x14ac:dyDescent="0.55000000000000004">
      <c r="A35" s="11" t="s">
        <v>147</v>
      </c>
      <c r="B35" s="11" t="s">
        <v>148</v>
      </c>
      <c r="C35" s="11" t="s">
        <v>149</v>
      </c>
    </row>
    <row r="36" spans="1:3" x14ac:dyDescent="0.55000000000000004">
      <c r="A36" s="11" t="s">
        <v>150</v>
      </c>
      <c r="B36" s="11" t="s">
        <v>151</v>
      </c>
      <c r="C36" s="11" t="s">
        <v>152</v>
      </c>
    </row>
    <row r="37" spans="1:3" x14ac:dyDescent="0.55000000000000004">
      <c r="A37" s="11" t="s">
        <v>153</v>
      </c>
      <c r="B37" s="11" t="s">
        <v>154</v>
      </c>
      <c r="C37" s="11" t="s">
        <v>155</v>
      </c>
    </row>
    <row r="38" spans="1:3" x14ac:dyDescent="0.55000000000000004">
      <c r="A38" s="11" t="s">
        <v>156</v>
      </c>
      <c r="B38" s="11" t="s">
        <v>157</v>
      </c>
      <c r="C38" s="11" t="s">
        <v>158</v>
      </c>
    </row>
    <row r="39" spans="1:3" x14ac:dyDescent="0.55000000000000004">
      <c r="A39" s="11" t="s">
        <v>159</v>
      </c>
      <c r="B39" s="11" t="s">
        <v>160</v>
      </c>
      <c r="C39" s="11" t="s">
        <v>161</v>
      </c>
    </row>
    <row r="40" spans="1:3" x14ac:dyDescent="0.55000000000000004">
      <c r="A40" s="11" t="s">
        <v>162</v>
      </c>
      <c r="B40" s="11" t="s">
        <v>163</v>
      </c>
      <c r="C40" s="11" t="s">
        <v>164</v>
      </c>
    </row>
    <row r="41" spans="1:3" x14ac:dyDescent="0.55000000000000004">
      <c r="A41" s="11" t="s">
        <v>165</v>
      </c>
      <c r="B41" s="11" t="s">
        <v>166</v>
      </c>
      <c r="C41" s="11" t="s">
        <v>167</v>
      </c>
    </row>
    <row r="42" spans="1:3" x14ac:dyDescent="0.55000000000000004">
      <c r="A42" s="11" t="s">
        <v>168</v>
      </c>
      <c r="B42" s="11" t="s">
        <v>169</v>
      </c>
      <c r="C42" s="11" t="s">
        <v>170</v>
      </c>
    </row>
    <row r="43" spans="1:3" x14ac:dyDescent="0.55000000000000004">
      <c r="A43" s="11" t="s">
        <v>171</v>
      </c>
      <c r="B43" s="11" t="s">
        <v>172</v>
      </c>
      <c r="C43" s="11" t="s">
        <v>173</v>
      </c>
    </row>
    <row r="44" spans="1:3" x14ac:dyDescent="0.55000000000000004">
      <c r="A44" s="11" t="s">
        <v>174</v>
      </c>
      <c r="B44" s="11" t="s">
        <v>175</v>
      </c>
      <c r="C44" s="11" t="s">
        <v>176</v>
      </c>
    </row>
    <row r="45" spans="1:3" x14ac:dyDescent="0.55000000000000004">
      <c r="A45" s="11" t="s">
        <v>177</v>
      </c>
      <c r="B45" s="11" t="s">
        <v>178</v>
      </c>
      <c r="C45" s="11" t="s">
        <v>179</v>
      </c>
    </row>
    <row r="46" spans="1:3" x14ac:dyDescent="0.55000000000000004">
      <c r="A46" s="11" t="s">
        <v>180</v>
      </c>
      <c r="B46" s="11" t="s">
        <v>181</v>
      </c>
      <c r="C46" s="11" t="s">
        <v>182</v>
      </c>
    </row>
    <row r="47" spans="1:3" x14ac:dyDescent="0.55000000000000004">
      <c r="A47" s="11" t="s">
        <v>183</v>
      </c>
      <c r="B47" s="11" t="s">
        <v>184</v>
      </c>
      <c r="C47" s="11" t="s">
        <v>185</v>
      </c>
    </row>
    <row r="48" spans="1:3" x14ac:dyDescent="0.55000000000000004">
      <c r="A48" s="11" t="s">
        <v>186</v>
      </c>
      <c r="B48" s="11" t="s">
        <v>187</v>
      </c>
      <c r="C48" s="11" t="s">
        <v>188</v>
      </c>
    </row>
    <row r="49" spans="1:3" x14ac:dyDescent="0.55000000000000004">
      <c r="A49" s="11" t="s">
        <v>189</v>
      </c>
      <c r="B49" s="11" t="s">
        <v>190</v>
      </c>
      <c r="C49" s="11" t="s">
        <v>191</v>
      </c>
    </row>
    <row r="50" spans="1:3" x14ac:dyDescent="0.55000000000000004">
      <c r="A50" s="11" t="s">
        <v>192</v>
      </c>
      <c r="B50" s="11" t="s">
        <v>193</v>
      </c>
      <c r="C50" s="11" t="s">
        <v>194</v>
      </c>
    </row>
    <row r="51" spans="1:3" x14ac:dyDescent="0.55000000000000004">
      <c r="A51" s="11" t="s">
        <v>195</v>
      </c>
      <c r="B51" s="11" t="s">
        <v>196</v>
      </c>
      <c r="C51" s="11" t="s">
        <v>197</v>
      </c>
    </row>
    <row r="52" spans="1:3" x14ac:dyDescent="0.55000000000000004">
      <c r="A52" s="11" t="s">
        <v>198</v>
      </c>
      <c r="B52" s="11" t="s">
        <v>199</v>
      </c>
      <c r="C52" s="11" t="s">
        <v>200</v>
      </c>
    </row>
    <row r="53" spans="1:3" x14ac:dyDescent="0.55000000000000004">
      <c r="A53" s="11" t="s">
        <v>201</v>
      </c>
      <c r="B53" s="11" t="s">
        <v>202</v>
      </c>
      <c r="C53" s="11" t="s">
        <v>203</v>
      </c>
    </row>
    <row r="54" spans="1:3" x14ac:dyDescent="0.55000000000000004">
      <c r="A54" s="11" t="s">
        <v>204</v>
      </c>
      <c r="B54" s="11" t="s">
        <v>205</v>
      </c>
      <c r="C54" s="11" t="s">
        <v>206</v>
      </c>
    </row>
    <row r="55" spans="1:3" x14ac:dyDescent="0.55000000000000004">
      <c r="A55" s="11" t="s">
        <v>207</v>
      </c>
      <c r="B55" s="11" t="s">
        <v>208</v>
      </c>
      <c r="C55" s="11" t="s">
        <v>209</v>
      </c>
    </row>
    <row r="56" spans="1:3" x14ac:dyDescent="0.55000000000000004">
      <c r="A56" s="11" t="s">
        <v>210</v>
      </c>
      <c r="B56" s="11" t="s">
        <v>211</v>
      </c>
      <c r="C56" s="11" t="s">
        <v>212</v>
      </c>
    </row>
    <row r="57" spans="1:3" x14ac:dyDescent="0.55000000000000004">
      <c r="A57" s="11" t="s">
        <v>213</v>
      </c>
      <c r="B57" s="11" t="s">
        <v>214</v>
      </c>
      <c r="C57" s="11" t="s">
        <v>215</v>
      </c>
    </row>
    <row r="58" spans="1:3" x14ac:dyDescent="0.55000000000000004">
      <c r="A58" s="11" t="s">
        <v>216</v>
      </c>
      <c r="B58" s="11" t="s">
        <v>217</v>
      </c>
      <c r="C58" s="11" t="s">
        <v>218</v>
      </c>
    </row>
    <row r="59" spans="1:3" x14ac:dyDescent="0.55000000000000004">
      <c r="A59" s="11" t="s">
        <v>219</v>
      </c>
      <c r="B59" s="11" t="s">
        <v>220</v>
      </c>
      <c r="C59" s="11" t="s">
        <v>221</v>
      </c>
    </row>
    <row r="60" spans="1:3" x14ac:dyDescent="0.55000000000000004">
      <c r="A60" s="11" t="s">
        <v>222</v>
      </c>
      <c r="B60" s="11" t="s">
        <v>223</v>
      </c>
      <c r="C60" s="11" t="s">
        <v>224</v>
      </c>
    </row>
    <row r="61" spans="1:3" x14ac:dyDescent="0.55000000000000004">
      <c r="A61" s="11" t="s">
        <v>225</v>
      </c>
      <c r="B61" s="11" t="s">
        <v>226</v>
      </c>
      <c r="C61" s="11" t="s">
        <v>227</v>
      </c>
    </row>
    <row r="62" spans="1:3" x14ac:dyDescent="0.55000000000000004">
      <c r="A62" s="11" t="s">
        <v>228</v>
      </c>
      <c r="B62" s="11" t="s">
        <v>229</v>
      </c>
      <c r="C62" s="11" t="s">
        <v>230</v>
      </c>
    </row>
    <row r="63" spans="1:3" x14ac:dyDescent="0.55000000000000004">
      <c r="A63" s="11" t="s">
        <v>231</v>
      </c>
      <c r="B63" s="11" t="s">
        <v>232</v>
      </c>
      <c r="C63" s="11" t="s">
        <v>233</v>
      </c>
    </row>
    <row r="64" spans="1:3" x14ac:dyDescent="0.55000000000000004">
      <c r="A64" s="11" t="s">
        <v>234</v>
      </c>
      <c r="B64" s="11" t="s">
        <v>235</v>
      </c>
      <c r="C64" s="11" t="s">
        <v>236</v>
      </c>
    </row>
    <row r="65" spans="1:3" x14ac:dyDescent="0.55000000000000004">
      <c r="A65" s="11" t="s">
        <v>237</v>
      </c>
      <c r="B65" s="11" t="s">
        <v>238</v>
      </c>
      <c r="C65" s="11" t="s">
        <v>239</v>
      </c>
    </row>
    <row r="66" spans="1:3" x14ac:dyDescent="0.55000000000000004">
      <c r="A66" s="10" t="s">
        <v>240</v>
      </c>
    </row>
  </sheetData>
  <pageMargins left="0.7" right="0.7" top="0.75" bottom="0.75" header="0.3" footer="0.3"/>
  <ignoredErrors>
    <ignoredError sqref="A7 A8:A65 B7:B6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C7507-6B25-45A8-95F2-F714227BD361}">
  <dimension ref="B3:J14"/>
  <sheetViews>
    <sheetView workbookViewId="0">
      <selection activeCell="K12" sqref="K12"/>
    </sheetView>
  </sheetViews>
  <sheetFormatPr defaultRowHeight="15" x14ac:dyDescent="0.25"/>
  <sheetData>
    <row r="3" spans="2:10" x14ac:dyDescent="0.25">
      <c r="B3" t="s">
        <v>1</v>
      </c>
      <c r="C3" t="s">
        <v>0</v>
      </c>
      <c r="D3" t="s">
        <v>277</v>
      </c>
      <c r="E3" t="s">
        <v>278</v>
      </c>
      <c r="G3" t="str">
        <f>TEXT(DATE(2024,ROW(A1),1),"[$-th-TH]mmmm")</f>
        <v>มกราคม</v>
      </c>
      <c r="I3">
        <v>1</v>
      </c>
      <c r="J3">
        <v>1</v>
      </c>
    </row>
    <row r="4" spans="2:10" x14ac:dyDescent="0.25">
      <c r="B4" t="s">
        <v>290</v>
      </c>
      <c r="C4" t="s">
        <v>296</v>
      </c>
      <c r="D4" t="s">
        <v>303</v>
      </c>
      <c r="E4" t="s">
        <v>313</v>
      </c>
      <c r="G4" t="str">
        <f t="shared" ref="G4:G14" si="0">TEXT(DATE(2024,ROW(A2),1),"[$-th-TH]mmmm")</f>
        <v>กุมภาพันธ์</v>
      </c>
      <c r="I4">
        <v>2</v>
      </c>
      <c r="J4">
        <v>2</v>
      </c>
    </row>
    <row r="5" spans="2:10" x14ac:dyDescent="0.25">
      <c r="B5" t="s">
        <v>291</v>
      </c>
      <c r="C5" t="s">
        <v>297</v>
      </c>
      <c r="D5" t="s">
        <v>306</v>
      </c>
      <c r="E5" t="s">
        <v>314</v>
      </c>
      <c r="G5" t="str">
        <f t="shared" si="0"/>
        <v>มีนาคม</v>
      </c>
      <c r="I5">
        <v>3</v>
      </c>
      <c r="J5">
        <v>3</v>
      </c>
    </row>
    <row r="6" spans="2:10" x14ac:dyDescent="0.25">
      <c r="B6" t="s">
        <v>292</v>
      </c>
      <c r="C6" t="s">
        <v>298</v>
      </c>
      <c r="D6" t="s">
        <v>309</v>
      </c>
      <c r="E6" t="s">
        <v>315</v>
      </c>
      <c r="G6" t="str">
        <f t="shared" si="0"/>
        <v>เมษายน</v>
      </c>
      <c r="I6">
        <v>4</v>
      </c>
      <c r="J6">
        <v>4</v>
      </c>
    </row>
    <row r="7" spans="2:10" x14ac:dyDescent="0.25">
      <c r="B7" t="s">
        <v>293</v>
      </c>
      <c r="C7" t="s">
        <v>299</v>
      </c>
      <c r="D7" t="s">
        <v>310</v>
      </c>
      <c r="E7" t="s">
        <v>316</v>
      </c>
      <c r="G7" t="str">
        <f t="shared" si="0"/>
        <v>พฤษภาคม</v>
      </c>
      <c r="I7">
        <v>5</v>
      </c>
      <c r="J7">
        <v>5</v>
      </c>
    </row>
    <row r="8" spans="2:10" x14ac:dyDescent="0.25">
      <c r="B8" t="s">
        <v>294</v>
      </c>
      <c r="C8" t="s">
        <v>300</v>
      </c>
      <c r="D8" t="s">
        <v>311</v>
      </c>
      <c r="E8" t="s">
        <v>317</v>
      </c>
      <c r="G8" t="str">
        <f t="shared" si="0"/>
        <v>มิถุนายน</v>
      </c>
      <c r="I8">
        <v>6</v>
      </c>
      <c r="J8">
        <v>6</v>
      </c>
    </row>
    <row r="9" spans="2:10" x14ac:dyDescent="0.25">
      <c r="B9" t="s">
        <v>295</v>
      </c>
      <c r="C9" t="s">
        <v>301</v>
      </c>
      <c r="D9" t="s">
        <v>312</v>
      </c>
      <c r="E9" t="s">
        <v>318</v>
      </c>
      <c r="G9" t="str">
        <f t="shared" si="0"/>
        <v>กรกฎาคม</v>
      </c>
      <c r="I9">
        <v>7</v>
      </c>
      <c r="J9">
        <v>7</v>
      </c>
    </row>
    <row r="10" spans="2:10" x14ac:dyDescent="0.25">
      <c r="C10" t="s">
        <v>302</v>
      </c>
      <c r="E10" t="s">
        <v>319</v>
      </c>
      <c r="G10" t="str">
        <f t="shared" si="0"/>
        <v>สิงหาคม</v>
      </c>
      <c r="I10">
        <v>8</v>
      </c>
      <c r="J10">
        <v>8</v>
      </c>
    </row>
    <row r="11" spans="2:10" x14ac:dyDescent="0.25">
      <c r="C11" t="s">
        <v>304</v>
      </c>
      <c r="E11" t="s">
        <v>320</v>
      </c>
      <c r="G11" t="str">
        <f t="shared" si="0"/>
        <v>กันยายน</v>
      </c>
      <c r="I11">
        <v>9</v>
      </c>
      <c r="J11">
        <v>9</v>
      </c>
    </row>
    <row r="12" spans="2:10" x14ac:dyDescent="0.25">
      <c r="C12" t="s">
        <v>305</v>
      </c>
      <c r="E12" t="s">
        <v>321</v>
      </c>
      <c r="G12" t="str">
        <f t="shared" si="0"/>
        <v>ตุลาคม</v>
      </c>
      <c r="I12">
        <v>10</v>
      </c>
      <c r="J12">
        <v>10</v>
      </c>
    </row>
    <row r="13" spans="2:10" x14ac:dyDescent="0.25">
      <c r="C13" t="s">
        <v>307</v>
      </c>
      <c r="E13" t="s">
        <v>322</v>
      </c>
      <c r="G13" t="str">
        <f t="shared" si="0"/>
        <v>พฤศจิกายน</v>
      </c>
      <c r="I13">
        <v>11</v>
      </c>
      <c r="J13">
        <v>11</v>
      </c>
    </row>
    <row r="14" spans="2:10" x14ac:dyDescent="0.25">
      <c r="C14" t="s">
        <v>308</v>
      </c>
      <c r="E14" t="s">
        <v>323</v>
      </c>
      <c r="G14" t="str">
        <f t="shared" si="0"/>
        <v>ธันวาคม</v>
      </c>
      <c r="I14">
        <v>12</v>
      </c>
      <c r="J14">
        <v>12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0AE2-D07C-4291-ACC8-FE817F16F0E3}">
  <dimension ref="B3:F9"/>
  <sheetViews>
    <sheetView workbookViewId="0">
      <selection activeCell="G18" sqref="G18"/>
    </sheetView>
  </sheetViews>
  <sheetFormatPr defaultRowHeight="21" x14ac:dyDescent="0.35"/>
  <cols>
    <col min="1" max="1" width="9.140625" style="50"/>
    <col min="2" max="2" width="35.42578125" style="50" bestFit="1" customWidth="1"/>
    <col min="3" max="3" width="14.140625" style="50" bestFit="1" customWidth="1"/>
    <col min="4" max="4" width="13.140625" style="50" bestFit="1" customWidth="1"/>
    <col min="5" max="5" width="27.7109375" style="50" bestFit="1" customWidth="1"/>
    <col min="6" max="7" width="33.5703125" style="50" bestFit="1" customWidth="1"/>
    <col min="8" max="16384" width="9.140625" style="50"/>
  </cols>
  <sheetData>
    <row r="3" spans="2:6" x14ac:dyDescent="0.35">
      <c r="B3" s="49" t="s">
        <v>2</v>
      </c>
      <c r="C3" s="49" t="s">
        <v>9</v>
      </c>
      <c r="D3" s="49" t="s">
        <v>10</v>
      </c>
      <c r="E3" s="49" t="s">
        <v>11</v>
      </c>
    </row>
    <row r="4" spans="2:6" x14ac:dyDescent="0.35">
      <c r="B4" s="50" t="s">
        <v>3</v>
      </c>
      <c r="C4" s="50" t="s">
        <v>324</v>
      </c>
      <c r="D4" s="50" t="s">
        <v>325</v>
      </c>
      <c r="E4" s="55" t="s">
        <v>336</v>
      </c>
      <c r="F4" s="56" t="s">
        <v>3</v>
      </c>
    </row>
    <row r="5" spans="2:6" x14ac:dyDescent="0.35">
      <c r="B5" s="50" t="s">
        <v>4</v>
      </c>
      <c r="C5" s="50" t="s">
        <v>331</v>
      </c>
      <c r="D5" s="50" t="s">
        <v>326</v>
      </c>
      <c r="E5" s="55" t="s">
        <v>341</v>
      </c>
      <c r="F5" s="56" t="s">
        <v>4</v>
      </c>
    </row>
    <row r="6" spans="2:6" x14ac:dyDescent="0.35">
      <c r="B6" s="50" t="s">
        <v>5</v>
      </c>
      <c r="C6" s="50" t="s">
        <v>332</v>
      </c>
      <c r="D6" s="50" t="s">
        <v>327</v>
      </c>
      <c r="E6" s="55" t="s">
        <v>337</v>
      </c>
      <c r="F6" s="56" t="s">
        <v>5</v>
      </c>
    </row>
    <row r="7" spans="2:6" x14ac:dyDescent="0.35">
      <c r="B7" s="50" t="s">
        <v>6</v>
      </c>
      <c r="C7" s="50" t="s">
        <v>333</v>
      </c>
      <c r="D7" s="50" t="s">
        <v>328</v>
      </c>
      <c r="E7" s="55" t="s">
        <v>338</v>
      </c>
      <c r="F7" s="56" t="s">
        <v>6</v>
      </c>
    </row>
    <row r="8" spans="2:6" x14ac:dyDescent="0.35">
      <c r="B8" s="50" t="s">
        <v>7</v>
      </c>
      <c r="C8" s="50" t="s">
        <v>334</v>
      </c>
      <c r="D8" s="50" t="s">
        <v>329</v>
      </c>
      <c r="E8" s="55" t="s">
        <v>339</v>
      </c>
      <c r="F8" s="56" t="s">
        <v>7</v>
      </c>
    </row>
    <row r="9" spans="2:6" x14ac:dyDescent="0.35">
      <c r="B9" s="50" t="s">
        <v>8</v>
      </c>
      <c r="C9" s="50" t="s">
        <v>335</v>
      </c>
      <c r="D9" s="50" t="s">
        <v>330</v>
      </c>
      <c r="E9" s="55" t="s">
        <v>340</v>
      </c>
      <c r="F9" s="5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37B36-72B9-4003-A645-5501206D3CAC}">
  <dimension ref="B1:G10"/>
  <sheetViews>
    <sheetView workbookViewId="0">
      <selection activeCell="G2" sqref="G2"/>
    </sheetView>
  </sheetViews>
  <sheetFormatPr defaultRowHeight="21" x14ac:dyDescent="0.35"/>
  <cols>
    <col min="1" max="1" width="9.140625" style="47"/>
    <col min="2" max="2" width="25.140625" style="47" bestFit="1" customWidth="1"/>
    <col min="3" max="4" width="11.42578125" style="47" customWidth="1"/>
    <col min="5" max="5" width="19.85546875" style="47" bestFit="1" customWidth="1"/>
    <col min="6" max="6" width="9.140625" style="47"/>
    <col min="7" max="7" width="27.5703125" style="47" bestFit="1" customWidth="1"/>
    <col min="8" max="8" width="16" style="47" bestFit="1" customWidth="1"/>
    <col min="9" max="16384" width="9.140625" style="47"/>
  </cols>
  <sheetData>
    <row r="1" spans="2:7" x14ac:dyDescent="0.35">
      <c r="B1" s="48" t="s">
        <v>279</v>
      </c>
      <c r="C1" s="48" t="s">
        <v>280</v>
      </c>
      <c r="D1" s="47" t="s">
        <v>356</v>
      </c>
      <c r="E1" s="47" t="s">
        <v>357</v>
      </c>
    </row>
    <row r="2" spans="2:7" x14ac:dyDescent="0.35">
      <c r="B2" s="47" t="s">
        <v>281</v>
      </c>
      <c r="C2" s="47">
        <v>300</v>
      </c>
      <c r="D2" s="47" t="s">
        <v>342</v>
      </c>
      <c r="E2" s="47">
        <v>223</v>
      </c>
      <c r="F2" s="47" t="s">
        <v>349</v>
      </c>
      <c r="G2" s="47" t="s">
        <v>359</v>
      </c>
    </row>
    <row r="3" spans="2:7" x14ac:dyDescent="0.35">
      <c r="B3" s="47" t="s">
        <v>282</v>
      </c>
      <c r="C3" s="47">
        <v>233</v>
      </c>
      <c r="D3" s="47" t="s">
        <v>343</v>
      </c>
      <c r="E3" s="47">
        <v>6233</v>
      </c>
      <c r="F3" s="47" t="s">
        <v>351</v>
      </c>
      <c r="G3" s="47" t="s">
        <v>360</v>
      </c>
    </row>
    <row r="4" spans="2:7" x14ac:dyDescent="0.35">
      <c r="B4" s="47" t="s">
        <v>283</v>
      </c>
      <c r="C4" s="47">
        <v>47</v>
      </c>
      <c r="D4" s="47" t="s">
        <v>344</v>
      </c>
      <c r="E4" s="47">
        <v>23</v>
      </c>
      <c r="F4" s="47" t="s">
        <v>352</v>
      </c>
      <c r="G4" s="47" t="s">
        <v>361</v>
      </c>
    </row>
    <row r="5" spans="2:7" x14ac:dyDescent="0.35">
      <c r="B5" s="47" t="s">
        <v>284</v>
      </c>
      <c r="C5" s="47">
        <v>120</v>
      </c>
      <c r="D5" s="47" t="s">
        <v>345</v>
      </c>
      <c r="E5" s="47">
        <v>388</v>
      </c>
      <c r="F5" s="47" t="s">
        <v>349</v>
      </c>
      <c r="G5" s="47" t="s">
        <v>362</v>
      </c>
    </row>
    <row r="6" spans="2:7" x14ac:dyDescent="0.35">
      <c r="B6" s="47" t="s">
        <v>285</v>
      </c>
      <c r="C6" s="47">
        <v>98</v>
      </c>
      <c r="D6" s="47" t="s">
        <v>345</v>
      </c>
      <c r="E6" s="47">
        <v>1212</v>
      </c>
      <c r="F6" s="47" t="s">
        <v>353</v>
      </c>
      <c r="G6" s="47" t="s">
        <v>363</v>
      </c>
    </row>
    <row r="7" spans="2:7" x14ac:dyDescent="0.35">
      <c r="B7" s="47" t="s">
        <v>286</v>
      </c>
      <c r="C7" s="47">
        <v>102</v>
      </c>
      <c r="D7" s="47" t="s">
        <v>346</v>
      </c>
      <c r="E7" s="47">
        <v>887</v>
      </c>
      <c r="F7" s="47" t="s">
        <v>354</v>
      </c>
      <c r="G7" s="47" t="s">
        <v>364</v>
      </c>
    </row>
    <row r="8" spans="2:7" x14ac:dyDescent="0.35">
      <c r="B8" s="47" t="s">
        <v>287</v>
      </c>
      <c r="C8" s="47">
        <v>60</v>
      </c>
      <c r="D8" s="47" t="s">
        <v>346</v>
      </c>
      <c r="E8" s="47">
        <v>82</v>
      </c>
      <c r="F8" s="47" t="s">
        <v>350</v>
      </c>
      <c r="G8" s="47" t="s">
        <v>365</v>
      </c>
    </row>
    <row r="9" spans="2:7" x14ac:dyDescent="0.35">
      <c r="B9" s="47" t="s">
        <v>288</v>
      </c>
      <c r="C9" s="47">
        <v>140</v>
      </c>
      <c r="D9" s="47" t="s">
        <v>347</v>
      </c>
      <c r="E9" s="47">
        <v>22496</v>
      </c>
      <c r="F9" s="47" t="s">
        <v>355</v>
      </c>
      <c r="G9" s="47" t="s">
        <v>366</v>
      </c>
    </row>
    <row r="10" spans="2:7" x14ac:dyDescent="0.35">
      <c r="B10" s="47" t="s">
        <v>289</v>
      </c>
      <c r="C10" s="47">
        <v>240</v>
      </c>
      <c r="D10" s="47" t="s">
        <v>348</v>
      </c>
      <c r="E10" s="47" t="s">
        <v>358</v>
      </c>
      <c r="F10" s="47" t="s">
        <v>354</v>
      </c>
      <c r="G10" s="47" t="s">
        <v>367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C5D0-2F6F-404B-B6E0-93C7271684EB}">
  <dimension ref="A1:F66"/>
  <sheetViews>
    <sheetView workbookViewId="0">
      <selection activeCell="B1" sqref="B1"/>
    </sheetView>
  </sheetViews>
  <sheetFormatPr defaultRowHeight="24" x14ac:dyDescent="0.55000000000000004"/>
  <cols>
    <col min="1" max="1" width="6.7109375" style="10" customWidth="1"/>
    <col min="2" max="2" width="12.42578125" style="10" customWidth="1"/>
    <col min="3" max="3" width="35.28515625" style="10" customWidth="1"/>
    <col min="4" max="16384" width="9.140625" style="10"/>
  </cols>
  <sheetData>
    <row r="1" spans="1:6" x14ac:dyDescent="0.55000000000000004">
      <c r="A1" s="10" t="s">
        <v>57</v>
      </c>
    </row>
    <row r="2" spans="1:6" x14ac:dyDescent="0.55000000000000004">
      <c r="A2" s="10" t="s">
        <v>58</v>
      </c>
    </row>
    <row r="3" spans="1:6" x14ac:dyDescent="0.55000000000000004">
      <c r="A3" s="10" t="s">
        <v>59</v>
      </c>
    </row>
    <row r="4" spans="1:6" x14ac:dyDescent="0.55000000000000004">
      <c r="A4" s="10" t="s">
        <v>60</v>
      </c>
    </row>
    <row r="6" spans="1:6" x14ac:dyDescent="0.55000000000000004">
      <c r="A6" s="12" t="s">
        <v>31</v>
      </c>
      <c r="B6" s="12" t="s">
        <v>61</v>
      </c>
      <c r="C6" s="12" t="s">
        <v>62</v>
      </c>
      <c r="D6" s="46" t="s">
        <v>241</v>
      </c>
      <c r="E6" s="46" t="s">
        <v>242</v>
      </c>
      <c r="F6" s="46" t="s">
        <v>243</v>
      </c>
    </row>
    <row r="7" spans="1:6" x14ac:dyDescent="0.55000000000000004">
      <c r="A7" s="11" t="s">
        <v>63</v>
      </c>
      <c r="B7" s="11" t="s">
        <v>64</v>
      </c>
      <c r="C7" s="11" t="s">
        <v>65</v>
      </c>
    </row>
    <row r="8" spans="1:6" x14ac:dyDescent="0.55000000000000004">
      <c r="A8" s="11" t="s">
        <v>66</v>
      </c>
      <c r="B8" s="11" t="s">
        <v>67</v>
      </c>
      <c r="C8" s="11" t="s">
        <v>68</v>
      </c>
    </row>
    <row r="9" spans="1:6" x14ac:dyDescent="0.55000000000000004">
      <c r="A9" s="11" t="s">
        <v>69</v>
      </c>
      <c r="B9" s="11" t="s">
        <v>70</v>
      </c>
      <c r="C9" s="11" t="s">
        <v>71</v>
      </c>
    </row>
    <row r="10" spans="1:6" x14ac:dyDescent="0.55000000000000004">
      <c r="A10" s="11" t="s">
        <v>72</v>
      </c>
      <c r="B10" s="11" t="s">
        <v>73</v>
      </c>
      <c r="C10" s="11" t="s">
        <v>74</v>
      </c>
    </row>
    <row r="11" spans="1:6" x14ac:dyDescent="0.55000000000000004">
      <c r="A11" s="11" t="s">
        <v>75</v>
      </c>
      <c r="B11" s="11" t="s">
        <v>76</v>
      </c>
      <c r="C11" s="11" t="s">
        <v>77</v>
      </c>
    </row>
    <row r="12" spans="1:6" x14ac:dyDescent="0.55000000000000004">
      <c r="A12" s="11" t="s">
        <v>78</v>
      </c>
      <c r="B12" s="11" t="s">
        <v>79</v>
      </c>
      <c r="C12" s="11" t="s">
        <v>80</v>
      </c>
    </row>
    <row r="13" spans="1:6" x14ac:dyDescent="0.55000000000000004">
      <c r="A13" s="11" t="s">
        <v>81</v>
      </c>
      <c r="B13" s="11" t="s">
        <v>82</v>
      </c>
      <c r="C13" s="11" t="s">
        <v>83</v>
      </c>
    </row>
    <row r="14" spans="1:6" x14ac:dyDescent="0.55000000000000004">
      <c r="A14" s="11" t="s">
        <v>84</v>
      </c>
      <c r="B14" s="11" t="s">
        <v>85</v>
      </c>
      <c r="C14" s="11" t="s">
        <v>86</v>
      </c>
    </row>
    <row r="15" spans="1:6" x14ac:dyDescent="0.55000000000000004">
      <c r="A15" s="11" t="s">
        <v>87</v>
      </c>
      <c r="B15" s="11" t="s">
        <v>88</v>
      </c>
      <c r="C15" s="11" t="s">
        <v>89</v>
      </c>
    </row>
    <row r="16" spans="1:6" x14ac:dyDescent="0.55000000000000004">
      <c r="A16" s="11" t="s">
        <v>90</v>
      </c>
      <c r="B16" s="11" t="s">
        <v>91</v>
      </c>
      <c r="C16" s="11" t="s">
        <v>92</v>
      </c>
    </row>
    <row r="17" spans="1:3" x14ac:dyDescent="0.55000000000000004">
      <c r="A17" s="11" t="s">
        <v>93</v>
      </c>
      <c r="B17" s="11" t="s">
        <v>94</v>
      </c>
      <c r="C17" s="11" t="s">
        <v>95</v>
      </c>
    </row>
    <row r="18" spans="1:3" x14ac:dyDescent="0.55000000000000004">
      <c r="A18" s="11" t="s">
        <v>96</v>
      </c>
      <c r="B18" s="11" t="s">
        <v>97</v>
      </c>
      <c r="C18" s="11" t="s">
        <v>98</v>
      </c>
    </row>
    <row r="19" spans="1:3" x14ac:dyDescent="0.55000000000000004">
      <c r="A19" s="11" t="s">
        <v>99</v>
      </c>
      <c r="B19" s="11" t="s">
        <v>100</v>
      </c>
      <c r="C19" s="11" t="s">
        <v>101</v>
      </c>
    </row>
    <row r="20" spans="1:3" x14ac:dyDescent="0.55000000000000004">
      <c r="A20" s="11" t="s">
        <v>102</v>
      </c>
      <c r="B20" s="11" t="s">
        <v>103</v>
      </c>
      <c r="C20" s="11" t="s">
        <v>104</v>
      </c>
    </row>
    <row r="21" spans="1:3" x14ac:dyDescent="0.55000000000000004">
      <c r="A21" s="11" t="s">
        <v>105</v>
      </c>
      <c r="B21" s="11" t="s">
        <v>106</v>
      </c>
      <c r="C21" s="11" t="s">
        <v>107</v>
      </c>
    </row>
    <row r="22" spans="1:3" x14ac:dyDescent="0.55000000000000004">
      <c r="A22" s="11" t="s">
        <v>108</v>
      </c>
      <c r="B22" s="11" t="s">
        <v>109</v>
      </c>
      <c r="C22" s="11" t="s">
        <v>110</v>
      </c>
    </row>
    <row r="23" spans="1:3" x14ac:dyDescent="0.55000000000000004">
      <c r="A23" s="11" t="s">
        <v>111</v>
      </c>
      <c r="B23" s="11" t="s">
        <v>112</v>
      </c>
      <c r="C23" s="11" t="s">
        <v>113</v>
      </c>
    </row>
    <row r="24" spans="1:3" x14ac:dyDescent="0.55000000000000004">
      <c r="A24" s="11" t="s">
        <v>114</v>
      </c>
      <c r="B24" s="11" t="s">
        <v>115</v>
      </c>
      <c r="C24" s="11" t="s">
        <v>116</v>
      </c>
    </row>
    <row r="25" spans="1:3" x14ac:dyDescent="0.55000000000000004">
      <c r="A25" s="11" t="s">
        <v>117</v>
      </c>
      <c r="B25" s="11" t="s">
        <v>118</v>
      </c>
      <c r="C25" s="11" t="s">
        <v>119</v>
      </c>
    </row>
    <row r="26" spans="1:3" x14ac:dyDescent="0.55000000000000004">
      <c r="A26" s="11" t="s">
        <v>120</v>
      </c>
      <c r="B26" s="11" t="s">
        <v>121</v>
      </c>
      <c r="C26" s="11" t="s">
        <v>122</v>
      </c>
    </row>
    <row r="27" spans="1:3" x14ac:dyDescent="0.55000000000000004">
      <c r="A27" s="11" t="s">
        <v>123</v>
      </c>
      <c r="B27" s="11" t="s">
        <v>124</v>
      </c>
      <c r="C27" s="11" t="s">
        <v>125</v>
      </c>
    </row>
    <row r="28" spans="1:3" x14ac:dyDescent="0.55000000000000004">
      <c r="A28" s="11" t="s">
        <v>126</v>
      </c>
      <c r="B28" s="11" t="s">
        <v>127</v>
      </c>
      <c r="C28" s="11" t="s">
        <v>128</v>
      </c>
    </row>
    <row r="29" spans="1:3" x14ac:dyDescent="0.55000000000000004">
      <c r="A29" s="11" t="s">
        <v>129</v>
      </c>
      <c r="B29" s="11" t="s">
        <v>130</v>
      </c>
      <c r="C29" s="11" t="s">
        <v>131</v>
      </c>
    </row>
    <row r="30" spans="1:3" x14ac:dyDescent="0.55000000000000004">
      <c r="A30" s="11" t="s">
        <v>132</v>
      </c>
      <c r="B30" s="11" t="s">
        <v>133</v>
      </c>
      <c r="C30" s="11" t="s">
        <v>134</v>
      </c>
    </row>
    <row r="31" spans="1:3" x14ac:dyDescent="0.55000000000000004">
      <c r="A31" s="11" t="s">
        <v>135</v>
      </c>
      <c r="B31" s="11" t="s">
        <v>136</v>
      </c>
      <c r="C31" s="11" t="s">
        <v>137</v>
      </c>
    </row>
    <row r="32" spans="1:3" x14ac:dyDescent="0.55000000000000004">
      <c r="A32" s="11" t="s">
        <v>138</v>
      </c>
      <c r="B32" s="11" t="s">
        <v>139</v>
      </c>
      <c r="C32" s="11" t="s">
        <v>140</v>
      </c>
    </row>
    <row r="33" spans="1:3" x14ac:dyDescent="0.55000000000000004">
      <c r="A33" s="11" t="s">
        <v>141</v>
      </c>
      <c r="B33" s="11" t="s">
        <v>142</v>
      </c>
      <c r="C33" s="11" t="s">
        <v>143</v>
      </c>
    </row>
    <row r="34" spans="1:3" x14ac:dyDescent="0.55000000000000004">
      <c r="A34" s="11" t="s">
        <v>144</v>
      </c>
      <c r="B34" s="11" t="s">
        <v>145</v>
      </c>
      <c r="C34" s="11" t="s">
        <v>146</v>
      </c>
    </row>
    <row r="35" spans="1:3" x14ac:dyDescent="0.55000000000000004">
      <c r="A35" s="11" t="s">
        <v>147</v>
      </c>
      <c r="B35" s="11" t="s">
        <v>148</v>
      </c>
      <c r="C35" s="11" t="s">
        <v>149</v>
      </c>
    </row>
    <row r="36" spans="1:3" x14ac:dyDescent="0.55000000000000004">
      <c r="A36" s="11" t="s">
        <v>150</v>
      </c>
      <c r="B36" s="11" t="s">
        <v>151</v>
      </c>
      <c r="C36" s="11" t="s">
        <v>152</v>
      </c>
    </row>
    <row r="37" spans="1:3" x14ac:dyDescent="0.55000000000000004">
      <c r="A37" s="11" t="s">
        <v>153</v>
      </c>
      <c r="B37" s="11" t="s">
        <v>154</v>
      </c>
      <c r="C37" s="11" t="s">
        <v>155</v>
      </c>
    </row>
    <row r="38" spans="1:3" x14ac:dyDescent="0.55000000000000004">
      <c r="A38" s="11" t="s">
        <v>156</v>
      </c>
      <c r="B38" s="11" t="s">
        <v>157</v>
      </c>
      <c r="C38" s="11" t="s">
        <v>158</v>
      </c>
    </row>
    <row r="39" spans="1:3" x14ac:dyDescent="0.55000000000000004">
      <c r="A39" s="11" t="s">
        <v>159</v>
      </c>
      <c r="B39" s="11" t="s">
        <v>160</v>
      </c>
      <c r="C39" s="11" t="s">
        <v>161</v>
      </c>
    </row>
    <row r="40" spans="1:3" x14ac:dyDescent="0.55000000000000004">
      <c r="A40" s="11" t="s">
        <v>162</v>
      </c>
      <c r="B40" s="11" t="s">
        <v>163</v>
      </c>
      <c r="C40" s="11" t="s">
        <v>164</v>
      </c>
    </row>
    <row r="41" spans="1:3" x14ac:dyDescent="0.55000000000000004">
      <c r="A41" s="11" t="s">
        <v>165</v>
      </c>
      <c r="B41" s="11" t="s">
        <v>166</v>
      </c>
      <c r="C41" s="11" t="s">
        <v>167</v>
      </c>
    </row>
    <row r="42" spans="1:3" x14ac:dyDescent="0.55000000000000004">
      <c r="A42" s="11" t="s">
        <v>168</v>
      </c>
      <c r="B42" s="11" t="s">
        <v>169</v>
      </c>
      <c r="C42" s="11" t="s">
        <v>170</v>
      </c>
    </row>
    <row r="43" spans="1:3" x14ac:dyDescent="0.55000000000000004">
      <c r="A43" s="11" t="s">
        <v>171</v>
      </c>
      <c r="B43" s="11" t="s">
        <v>172</v>
      </c>
      <c r="C43" s="11" t="s">
        <v>173</v>
      </c>
    </row>
    <row r="44" spans="1:3" x14ac:dyDescent="0.55000000000000004">
      <c r="A44" s="11" t="s">
        <v>174</v>
      </c>
      <c r="B44" s="11" t="s">
        <v>175</v>
      </c>
      <c r="C44" s="11" t="s">
        <v>176</v>
      </c>
    </row>
    <row r="45" spans="1:3" x14ac:dyDescent="0.55000000000000004">
      <c r="A45" s="11" t="s">
        <v>177</v>
      </c>
      <c r="B45" s="11" t="s">
        <v>178</v>
      </c>
      <c r="C45" s="11" t="s">
        <v>179</v>
      </c>
    </row>
    <row r="46" spans="1:3" x14ac:dyDescent="0.55000000000000004">
      <c r="A46" s="11" t="s">
        <v>180</v>
      </c>
      <c r="B46" s="11" t="s">
        <v>181</v>
      </c>
      <c r="C46" s="11" t="s">
        <v>182</v>
      </c>
    </row>
    <row r="47" spans="1:3" x14ac:dyDescent="0.55000000000000004">
      <c r="A47" s="11" t="s">
        <v>183</v>
      </c>
      <c r="B47" s="11" t="s">
        <v>184</v>
      </c>
      <c r="C47" s="11" t="s">
        <v>185</v>
      </c>
    </row>
    <row r="48" spans="1:3" x14ac:dyDescent="0.55000000000000004">
      <c r="A48" s="11" t="s">
        <v>186</v>
      </c>
      <c r="B48" s="11" t="s">
        <v>187</v>
      </c>
      <c r="C48" s="11" t="s">
        <v>188</v>
      </c>
    </row>
    <row r="49" spans="1:3" x14ac:dyDescent="0.55000000000000004">
      <c r="A49" s="11" t="s">
        <v>189</v>
      </c>
      <c r="B49" s="11" t="s">
        <v>190</v>
      </c>
      <c r="C49" s="11" t="s">
        <v>191</v>
      </c>
    </row>
    <row r="50" spans="1:3" x14ac:dyDescent="0.55000000000000004">
      <c r="A50" s="11" t="s">
        <v>192</v>
      </c>
      <c r="B50" s="11" t="s">
        <v>193</v>
      </c>
      <c r="C50" s="11" t="s">
        <v>194</v>
      </c>
    </row>
    <row r="51" spans="1:3" x14ac:dyDescent="0.55000000000000004">
      <c r="A51" s="11" t="s">
        <v>195</v>
      </c>
      <c r="B51" s="11" t="s">
        <v>196</v>
      </c>
      <c r="C51" s="11" t="s">
        <v>197</v>
      </c>
    </row>
    <row r="52" spans="1:3" x14ac:dyDescent="0.55000000000000004">
      <c r="A52" s="11" t="s">
        <v>198</v>
      </c>
      <c r="B52" s="11" t="s">
        <v>199</v>
      </c>
      <c r="C52" s="11" t="s">
        <v>200</v>
      </c>
    </row>
    <row r="53" spans="1:3" x14ac:dyDescent="0.55000000000000004">
      <c r="A53" s="11" t="s">
        <v>201</v>
      </c>
      <c r="B53" s="11" t="s">
        <v>202</v>
      </c>
      <c r="C53" s="11" t="s">
        <v>203</v>
      </c>
    </row>
    <row r="54" spans="1:3" x14ac:dyDescent="0.55000000000000004">
      <c r="A54" s="11" t="s">
        <v>204</v>
      </c>
      <c r="B54" s="11" t="s">
        <v>205</v>
      </c>
      <c r="C54" s="11" t="s">
        <v>206</v>
      </c>
    </row>
    <row r="55" spans="1:3" x14ac:dyDescent="0.55000000000000004">
      <c r="A55" s="11" t="s">
        <v>207</v>
      </c>
      <c r="B55" s="11" t="s">
        <v>208</v>
      </c>
      <c r="C55" s="11" t="s">
        <v>209</v>
      </c>
    </row>
    <row r="56" spans="1:3" x14ac:dyDescent="0.55000000000000004">
      <c r="A56" s="11" t="s">
        <v>210</v>
      </c>
      <c r="B56" s="11" t="s">
        <v>211</v>
      </c>
      <c r="C56" s="11" t="s">
        <v>212</v>
      </c>
    </row>
    <row r="57" spans="1:3" x14ac:dyDescent="0.55000000000000004">
      <c r="A57" s="11" t="s">
        <v>213</v>
      </c>
      <c r="B57" s="11" t="s">
        <v>214</v>
      </c>
      <c r="C57" s="11" t="s">
        <v>215</v>
      </c>
    </row>
    <row r="58" spans="1:3" x14ac:dyDescent="0.55000000000000004">
      <c r="A58" s="11" t="s">
        <v>216</v>
      </c>
      <c r="B58" s="11" t="s">
        <v>217</v>
      </c>
      <c r="C58" s="11" t="s">
        <v>218</v>
      </c>
    </row>
    <row r="59" spans="1:3" x14ac:dyDescent="0.55000000000000004">
      <c r="A59" s="11" t="s">
        <v>219</v>
      </c>
      <c r="B59" s="11" t="s">
        <v>220</v>
      </c>
      <c r="C59" s="11" t="s">
        <v>221</v>
      </c>
    </row>
    <row r="60" spans="1:3" x14ac:dyDescent="0.55000000000000004">
      <c r="A60" s="11" t="s">
        <v>222</v>
      </c>
      <c r="B60" s="11" t="s">
        <v>223</v>
      </c>
      <c r="C60" s="11" t="s">
        <v>224</v>
      </c>
    </row>
    <row r="61" spans="1:3" x14ac:dyDescent="0.55000000000000004">
      <c r="A61" s="11" t="s">
        <v>225</v>
      </c>
      <c r="B61" s="11" t="s">
        <v>226</v>
      </c>
      <c r="C61" s="11" t="s">
        <v>227</v>
      </c>
    </row>
    <row r="62" spans="1:3" x14ac:dyDescent="0.55000000000000004">
      <c r="A62" s="11" t="s">
        <v>228</v>
      </c>
      <c r="B62" s="11" t="s">
        <v>229</v>
      </c>
      <c r="C62" s="11" t="s">
        <v>230</v>
      </c>
    </row>
    <row r="63" spans="1:3" x14ac:dyDescent="0.55000000000000004">
      <c r="A63" s="11" t="s">
        <v>231</v>
      </c>
      <c r="B63" s="11" t="s">
        <v>232</v>
      </c>
      <c r="C63" s="11" t="s">
        <v>233</v>
      </c>
    </row>
    <row r="64" spans="1:3" x14ac:dyDescent="0.55000000000000004">
      <c r="A64" s="11" t="s">
        <v>234</v>
      </c>
      <c r="B64" s="11" t="s">
        <v>235</v>
      </c>
      <c r="C64" s="11" t="s">
        <v>236</v>
      </c>
    </row>
    <row r="65" spans="1:3" x14ac:dyDescent="0.55000000000000004">
      <c r="A65" s="11" t="s">
        <v>237</v>
      </c>
      <c r="B65" s="11" t="s">
        <v>238</v>
      </c>
      <c r="C65" s="11" t="s">
        <v>239</v>
      </c>
    </row>
    <row r="66" spans="1:3" x14ac:dyDescent="0.55000000000000004">
      <c r="A66" s="10" t="s">
        <v>240</v>
      </c>
    </row>
  </sheetData>
  <pageMargins left="0.7" right="0.7" top="0.75" bottom="0.75" header="0.3" footer="0.3"/>
  <ignoredErrors>
    <ignoredError sqref="A7:B6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FCA02-3976-4859-B02F-2029F429DF7C}">
  <dimension ref="A1:E17"/>
  <sheetViews>
    <sheetView workbookViewId="0">
      <selection activeCell="B12" sqref="B12"/>
    </sheetView>
  </sheetViews>
  <sheetFormatPr defaultRowHeight="18.75" x14ac:dyDescent="0.3"/>
  <cols>
    <col min="1" max="1" width="17" style="16" customWidth="1"/>
    <col min="2" max="2" width="23.85546875" style="16" bestFit="1" customWidth="1"/>
    <col min="3" max="3" width="34.42578125" style="16" customWidth="1"/>
    <col min="4" max="4" width="18" style="16" customWidth="1"/>
    <col min="5" max="5" width="35.7109375" style="16" bestFit="1" customWidth="1"/>
    <col min="6" max="16384" width="9.140625" style="16"/>
  </cols>
  <sheetData>
    <row r="1" spans="1:5" ht="20.25" customHeight="1" x14ac:dyDescent="0.3">
      <c r="A1" s="15" t="s">
        <v>24</v>
      </c>
    </row>
    <row r="2" spans="1:5" ht="20.25" customHeight="1" x14ac:dyDescent="0.3">
      <c r="A2" s="17" t="s">
        <v>12</v>
      </c>
      <c r="B2" s="17" t="s">
        <v>13</v>
      </c>
      <c r="C2" s="17" t="s">
        <v>14</v>
      </c>
      <c r="D2" s="17" t="s">
        <v>15</v>
      </c>
      <c r="E2" s="18" t="s">
        <v>254</v>
      </c>
    </row>
    <row r="3" spans="1:5" ht="20.25" customHeight="1" x14ac:dyDescent="0.3">
      <c r="A3" s="19" t="s">
        <v>16</v>
      </c>
      <c r="B3" s="20">
        <v>8</v>
      </c>
      <c r="C3" s="20">
        <v>3</v>
      </c>
      <c r="D3" s="20">
        <f>SUM(B3-C3)</f>
        <v>5</v>
      </c>
      <c r="E3" s="19"/>
    </row>
    <row r="4" spans="1:5" ht="20.25" customHeight="1" x14ac:dyDescent="0.3">
      <c r="A4" s="21" t="s">
        <v>17</v>
      </c>
      <c r="B4" s="22">
        <v>10</v>
      </c>
      <c r="C4" s="22">
        <v>6</v>
      </c>
      <c r="D4" s="22">
        <f>SUM(B4-C4)</f>
        <v>4</v>
      </c>
      <c r="E4" s="21"/>
    </row>
    <row r="5" spans="1:5" ht="20.25" customHeight="1" x14ac:dyDescent="0.3">
      <c r="A5" s="19" t="s">
        <v>18</v>
      </c>
      <c r="B5" s="20">
        <v>12</v>
      </c>
      <c r="C5" s="20">
        <v>9</v>
      </c>
      <c r="D5" s="20">
        <f t="shared" ref="D5:D10" si="0">SUM(B5-C5)</f>
        <v>3</v>
      </c>
      <c r="E5" s="19"/>
    </row>
    <row r="6" spans="1:5" ht="20.25" customHeight="1" x14ac:dyDescent="0.3">
      <c r="A6" s="21" t="s">
        <v>19</v>
      </c>
      <c r="B6" s="22">
        <v>14</v>
      </c>
      <c r="C6" s="22">
        <v>12</v>
      </c>
      <c r="D6" s="22">
        <f t="shared" si="0"/>
        <v>2</v>
      </c>
      <c r="E6" s="21"/>
    </row>
    <row r="7" spans="1:5" ht="20.25" customHeight="1" x14ac:dyDescent="0.3">
      <c r="A7" s="19" t="s">
        <v>20</v>
      </c>
      <c r="B7" s="20">
        <v>16</v>
      </c>
      <c r="C7" s="20">
        <v>15</v>
      </c>
      <c r="D7" s="20">
        <f t="shared" si="0"/>
        <v>1</v>
      </c>
      <c r="E7" s="19"/>
    </row>
    <row r="8" spans="1:5" ht="20.25" customHeight="1" x14ac:dyDescent="0.3">
      <c r="A8" s="21" t="s">
        <v>21</v>
      </c>
      <c r="B8" s="22">
        <v>18</v>
      </c>
      <c r="C8" s="22">
        <v>18</v>
      </c>
      <c r="D8" s="22">
        <f t="shared" si="0"/>
        <v>0</v>
      </c>
      <c r="E8" s="21"/>
    </row>
    <row r="9" spans="1:5" ht="20.25" customHeight="1" x14ac:dyDescent="0.3">
      <c r="A9" s="19" t="s">
        <v>22</v>
      </c>
      <c r="B9" s="20">
        <v>25</v>
      </c>
      <c r="C9" s="20">
        <v>21</v>
      </c>
      <c r="D9" s="20">
        <f t="shared" si="0"/>
        <v>4</v>
      </c>
      <c r="E9" s="19"/>
    </row>
    <row r="10" spans="1:5" ht="20.25" customHeight="1" x14ac:dyDescent="0.3">
      <c r="A10" s="21" t="s">
        <v>23</v>
      </c>
      <c r="B10" s="22">
        <v>25</v>
      </c>
      <c r="C10" s="22">
        <v>24</v>
      </c>
      <c r="D10" s="22">
        <f t="shared" si="0"/>
        <v>1</v>
      </c>
      <c r="E10" s="21"/>
    </row>
    <row r="12" spans="1:5" x14ac:dyDescent="0.3">
      <c r="A12" s="23" t="s">
        <v>25</v>
      </c>
      <c r="B12" s="23">
        <f>SUM(D3:D10)</f>
        <v>20</v>
      </c>
      <c r="C12" s="16" t="s">
        <v>255</v>
      </c>
    </row>
    <row r="13" spans="1:5" x14ac:dyDescent="0.3">
      <c r="A13" s="23" t="s">
        <v>26</v>
      </c>
      <c r="B13" s="23"/>
      <c r="C13" s="16" t="s">
        <v>256</v>
      </c>
    </row>
    <row r="14" spans="1:5" x14ac:dyDescent="0.3">
      <c r="A14" s="23" t="s">
        <v>27</v>
      </c>
      <c r="B14" s="23"/>
      <c r="C14" s="16" t="s">
        <v>257</v>
      </c>
      <c r="E14" s="24"/>
    </row>
    <row r="15" spans="1:5" x14ac:dyDescent="0.3">
      <c r="A15" s="23" t="s">
        <v>28</v>
      </c>
      <c r="B15" s="23"/>
      <c r="C15" s="16" t="s">
        <v>258</v>
      </c>
    </row>
    <row r="16" spans="1:5" x14ac:dyDescent="0.3">
      <c r="A16" s="23" t="s">
        <v>29</v>
      </c>
      <c r="B16" s="23"/>
      <c r="C16" s="16" t="s">
        <v>259</v>
      </c>
    </row>
    <row r="17" spans="1:3" x14ac:dyDescent="0.3">
      <c r="A17" s="23" t="s">
        <v>30</v>
      </c>
      <c r="B17" s="23"/>
      <c r="C17" s="16" t="s">
        <v>260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ABC6-26CB-411A-9057-B7C5911BA9A5}">
  <dimension ref="A1:G29"/>
  <sheetViews>
    <sheetView tabSelected="1" topLeftCell="A6" workbookViewId="0">
      <selection activeCell="E16" sqref="E16"/>
    </sheetView>
  </sheetViews>
  <sheetFormatPr defaultColWidth="9.140625" defaultRowHeight="24" x14ac:dyDescent="0.55000000000000004"/>
  <cols>
    <col min="1" max="1" width="7.42578125" style="25" customWidth="1"/>
    <col min="2" max="2" width="19.42578125" style="25" customWidth="1"/>
    <col min="3" max="3" width="14.28515625" style="25" customWidth="1"/>
    <col min="4" max="4" width="15.42578125" style="25" customWidth="1"/>
    <col min="5" max="5" width="14.28515625" style="25" customWidth="1"/>
    <col min="6" max="16384" width="9.140625" style="25"/>
  </cols>
  <sheetData>
    <row r="1" spans="1:7" x14ac:dyDescent="0.55000000000000004">
      <c r="A1" s="54" t="s">
        <v>262</v>
      </c>
      <c r="B1" s="54"/>
      <c r="C1" s="54"/>
      <c r="D1" s="54"/>
      <c r="E1" s="54"/>
    </row>
    <row r="2" spans="1:7" x14ac:dyDescent="0.55000000000000004">
      <c r="A2" s="25" t="s">
        <v>263</v>
      </c>
    </row>
    <row r="3" spans="1:7" ht="24.75" thickBot="1" x14ac:dyDescent="0.6">
      <c r="A3" s="45"/>
      <c r="B3" s="45"/>
      <c r="C3" s="45"/>
      <c r="D3" s="45"/>
      <c r="E3" s="45"/>
    </row>
    <row r="4" spans="1:7" ht="24.75" thickBot="1" x14ac:dyDescent="0.6">
      <c r="A4" s="44" t="s">
        <v>31</v>
      </c>
      <c r="B4" s="44" t="s">
        <v>32</v>
      </c>
      <c r="C4" s="44" t="s">
        <v>33</v>
      </c>
      <c r="D4" s="44" t="s">
        <v>34</v>
      </c>
      <c r="E4" s="44" t="s">
        <v>35</v>
      </c>
      <c r="G4" s="29"/>
    </row>
    <row r="5" spans="1:7" x14ac:dyDescent="0.55000000000000004">
      <c r="A5" s="41">
        <v>1</v>
      </c>
      <c r="B5" s="42" t="s">
        <v>36</v>
      </c>
      <c r="C5" s="36">
        <v>9500</v>
      </c>
      <c r="D5" s="43">
        <v>50</v>
      </c>
      <c r="E5" s="36">
        <f>C5*D5</f>
        <v>475000</v>
      </c>
      <c r="G5" s="29"/>
    </row>
    <row r="6" spans="1:7" x14ac:dyDescent="0.55000000000000004">
      <c r="A6" s="30">
        <v>2</v>
      </c>
      <c r="B6" s="31" t="s">
        <v>37</v>
      </c>
      <c r="C6" s="32">
        <v>3500</v>
      </c>
      <c r="D6" s="27">
        <v>60</v>
      </c>
      <c r="E6" s="36">
        <f t="shared" ref="E6:E12" si="0">C6*D6</f>
        <v>210000</v>
      </c>
      <c r="G6" s="29"/>
    </row>
    <row r="7" spans="1:7" x14ac:dyDescent="0.55000000000000004">
      <c r="A7" s="30">
        <v>3</v>
      </c>
      <c r="B7" s="31" t="s">
        <v>38</v>
      </c>
      <c r="C7" s="32">
        <v>29000</v>
      </c>
      <c r="D7" s="27">
        <v>32</v>
      </c>
      <c r="E7" s="36">
        <f t="shared" si="0"/>
        <v>928000</v>
      </c>
      <c r="G7" s="29"/>
    </row>
    <row r="8" spans="1:7" x14ac:dyDescent="0.55000000000000004">
      <c r="A8" s="30">
        <v>4</v>
      </c>
      <c r="B8" s="31" t="s">
        <v>39</v>
      </c>
      <c r="C8" s="32">
        <v>5300</v>
      </c>
      <c r="D8" s="27">
        <v>12</v>
      </c>
      <c r="E8" s="36">
        <f t="shared" si="0"/>
        <v>63600</v>
      </c>
      <c r="G8" s="29"/>
    </row>
    <row r="9" spans="1:7" x14ac:dyDescent="0.55000000000000004">
      <c r="A9" s="30">
        <v>5</v>
      </c>
      <c r="B9" s="31" t="s">
        <v>40</v>
      </c>
      <c r="C9" s="32">
        <v>980</v>
      </c>
      <c r="D9" s="27">
        <v>46</v>
      </c>
      <c r="E9" s="36">
        <f t="shared" si="0"/>
        <v>45080</v>
      </c>
    </row>
    <row r="10" spans="1:7" x14ac:dyDescent="0.55000000000000004">
      <c r="A10" s="30">
        <v>6</v>
      </c>
      <c r="B10" s="31" t="s">
        <v>41</v>
      </c>
      <c r="C10" s="32">
        <v>690</v>
      </c>
      <c r="D10" s="27">
        <v>78</v>
      </c>
      <c r="E10" s="36">
        <f t="shared" si="0"/>
        <v>53820</v>
      </c>
    </row>
    <row r="11" spans="1:7" x14ac:dyDescent="0.55000000000000004">
      <c r="A11" s="30">
        <v>7</v>
      </c>
      <c r="B11" s="31" t="s">
        <v>42</v>
      </c>
      <c r="C11" s="32">
        <v>465</v>
      </c>
      <c r="D11" s="27">
        <v>62</v>
      </c>
      <c r="E11" s="36">
        <f t="shared" si="0"/>
        <v>28830</v>
      </c>
    </row>
    <row r="12" spans="1:7" ht="24.75" thickBot="1" x14ac:dyDescent="0.6">
      <c r="A12" s="37">
        <v>8</v>
      </c>
      <c r="B12" s="38" t="s">
        <v>43</v>
      </c>
      <c r="C12" s="39">
        <v>9800</v>
      </c>
      <c r="D12" s="40">
        <v>80</v>
      </c>
      <c r="E12" s="36">
        <f t="shared" si="0"/>
        <v>784000</v>
      </c>
    </row>
    <row r="13" spans="1:7" x14ac:dyDescent="0.55000000000000004">
      <c r="A13" s="33"/>
      <c r="B13" s="29"/>
      <c r="C13" s="34"/>
      <c r="D13" s="35" t="s">
        <v>264</v>
      </c>
      <c r="E13" s="36">
        <f>SUM(E5:E12)</f>
        <v>2588330</v>
      </c>
    </row>
    <row r="14" spans="1:7" x14ac:dyDescent="0.55000000000000004">
      <c r="A14" s="33"/>
      <c r="B14" s="29"/>
      <c r="C14" s="34"/>
      <c r="D14" s="28" t="s">
        <v>265</v>
      </c>
      <c r="E14" s="32">
        <f>E13*20%</f>
        <v>517666</v>
      </c>
    </row>
    <row r="15" spans="1:7" x14ac:dyDescent="0.55000000000000004">
      <c r="D15" s="31" t="s">
        <v>274</v>
      </c>
      <c r="E15" s="32">
        <f>(E13-E14)*7%</f>
        <v>144946.48000000001</v>
      </c>
    </row>
    <row r="16" spans="1:7" x14ac:dyDescent="0.55000000000000004">
      <c r="D16" s="31" t="s">
        <v>44</v>
      </c>
      <c r="E16" s="32">
        <f>(E13-E14)+E15</f>
        <v>2215610.48</v>
      </c>
    </row>
    <row r="19" spans="1:1" x14ac:dyDescent="0.55000000000000004">
      <c r="A19" s="26" t="s">
        <v>266</v>
      </c>
    </row>
    <row r="20" spans="1:1" x14ac:dyDescent="0.55000000000000004">
      <c r="A20" s="25" t="s">
        <v>267</v>
      </c>
    </row>
    <row r="21" spans="1:1" x14ac:dyDescent="0.55000000000000004">
      <c r="A21" s="25" t="s">
        <v>268</v>
      </c>
    </row>
    <row r="22" spans="1:1" x14ac:dyDescent="0.55000000000000004">
      <c r="A22" s="25" t="s">
        <v>269</v>
      </c>
    </row>
    <row r="24" spans="1:1" x14ac:dyDescent="0.55000000000000004">
      <c r="A24" s="26" t="s">
        <v>273</v>
      </c>
    </row>
    <row r="25" spans="1:1" x14ac:dyDescent="0.55000000000000004">
      <c r="A25" s="25" t="s">
        <v>270</v>
      </c>
    </row>
    <row r="26" spans="1:1" x14ac:dyDescent="0.55000000000000004">
      <c r="A26" s="25" t="s">
        <v>271</v>
      </c>
    </row>
    <row r="27" spans="1:1" x14ac:dyDescent="0.55000000000000004">
      <c r="A27" s="25" t="s">
        <v>272</v>
      </c>
    </row>
    <row r="28" spans="1:1" x14ac:dyDescent="0.55000000000000004">
      <c r="A28" s="25" t="s">
        <v>275</v>
      </c>
    </row>
    <row r="29" spans="1:1" x14ac:dyDescent="0.55000000000000004">
      <c r="A29" s="25" t="s">
        <v>276</v>
      </c>
    </row>
  </sheetData>
  <mergeCells count="1">
    <mergeCell ref="A1:E1"/>
  </mergeCells>
  <printOptions horizontalCentered="1"/>
  <pageMargins left="0.45" right="0.45" top="0.75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แนะนำส่วนต่างๆ</vt:lpstr>
      <vt:lpstr>Sort</vt:lpstr>
      <vt:lpstr>Freeze Panes</vt:lpstr>
      <vt:lpstr>Autofill</vt:lpstr>
      <vt:lpstr>Flash Fill</vt:lpstr>
      <vt:lpstr>Flash Fill (2)</vt:lpstr>
      <vt:lpstr>ค้นหา แทนที่</vt:lpstr>
      <vt:lpstr>Formular</vt:lpstr>
      <vt:lpstr>ใบงาน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Adisak Pinyakhong</dc:creator>
  <cp:lastModifiedBy>STD</cp:lastModifiedBy>
  <cp:lastPrinted>2026-02-14T07:27:34Z</cp:lastPrinted>
  <dcterms:created xsi:type="dcterms:W3CDTF">2024-09-11T05:35:43Z</dcterms:created>
  <dcterms:modified xsi:type="dcterms:W3CDTF">2026-02-14T07:29:01Z</dcterms:modified>
  <cp:contentStatus/>
</cp:coreProperties>
</file>